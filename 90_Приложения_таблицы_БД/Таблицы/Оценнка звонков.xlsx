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0" windowWidth="34215" windowHeight="17310"/>
  </bookViews>
  <sheets>
    <sheet name="Шаблон таблицы оценки" sheetId="1" r:id="rId1"/>
  </sheets>
  <calcPr calcId="124519"/>
</workbook>
</file>

<file path=xl/calcChain.xml><?xml version="1.0" encoding="utf-8"?>
<calcChain xmlns="http://schemas.openxmlformats.org/spreadsheetml/2006/main">
  <c r="G2" i="1"/>
</calcChain>
</file>

<file path=xl/comments1.xml><?xml version="1.0" encoding="utf-8"?>
<comments xmlns="http://schemas.openxmlformats.org/spreadsheetml/2006/main">
  <authors>
    <author/>
  </authors>
  <commentList>
    <comment ref="J2" authorId="0">
      <text>
        <r>
          <rPr>
            <sz val="10"/>
            <color rgb="FF000000"/>
            <rFont val="Arial"/>
            <family val="2"/>
            <charset val="204"/>
          </rPr>
          <t>Менеджер называет своё имя и название компании — 1 балл.
Менеджер называет только название компании — 0.5.
Менеджер называет только своё имя, не представляет компанию, ошибается в названии или вовсе не представляется — 0.</t>
        </r>
      </text>
    </comment>
    <comment ref="K2" authorId="0">
      <text>
        <r>
          <rPr>
            <sz val="10"/>
            <color rgb="FF000000"/>
            <rFont val="Arial"/>
            <family val="2"/>
            <charset val="204"/>
          </rPr>
          <t>В разговоре менеджера отсутствуют ошибки и слова-паразиты, он не грубит и не перебивает клиента — 1 балл.
Менеджер допускает незначительные ошибки, около трёх за разговор — 0.5.
Менеджер допускает более трёх лексических ошибок за разговор — 0.</t>
        </r>
      </text>
    </comment>
    <comment ref="L2" authorId="0">
      <text>
        <r>
          <rPr>
            <sz val="10"/>
            <color rgb="FF000000"/>
            <rFont val="Arial"/>
            <family val="2"/>
            <charset val="204"/>
          </rPr>
          <t>Менеджер уточняет имя клиента, если оно неизвестно, и обращается по имени не менее 2–3 раз за разговор — 1 балл.
Менеджер уточняет имя, но не использует его в разговоре — 0.5.
Менеджер не уточняет имя клиента — 0.</t>
        </r>
      </text>
    </comment>
    <comment ref="M2" authorId="0">
      <text>
        <r>
          <rPr>
            <sz val="10"/>
            <color rgb="FF000000"/>
            <rFont val="Arial"/>
            <family val="2"/>
            <charset val="204"/>
          </rPr>
          <t>Менеджер не допускает пауз в разговоре  — 1 балл.
В разговоре долгая пауза: менеджер думает, что сказать, клиент висит — 0.</t>
        </r>
      </text>
    </comment>
    <comment ref="O2" authorId="0">
      <text>
        <r>
          <rPr>
            <sz val="10"/>
            <color rgb="FF000000"/>
            <rFont val="Arial"/>
            <family val="2"/>
            <charset val="204"/>
          </rPr>
          <t>Менеджер выявляет потребность по поставщику, задавая продающие вопросы — 1 балл.
Менеджер не выявляет потребность по поставщику — 0.</t>
        </r>
      </text>
    </comment>
    <comment ref="P2" authorId="0">
      <text>
        <r>
          <rPr>
            <sz val="10"/>
            <color rgb="FF000000"/>
            <rFont val="Arial"/>
            <family val="2"/>
            <charset val="204"/>
          </rPr>
          <t>Менеджер выявляет техническую потребность  — 1 балл.
Менеджер выявляет техническую потребность не полностью — 0.5.
Менеджер вообще не выявляет техническую потребность — 0.</t>
        </r>
      </text>
    </comment>
    <comment ref="Q2" authorId="0">
      <text>
        <r>
          <rPr>
            <sz val="10"/>
            <color rgb="FF000000"/>
            <rFont val="Arial"/>
            <family val="2"/>
            <charset val="204"/>
          </rPr>
          <t>Менеджер презентует компанию и рассказывает о преимуществах — 1 балл.
Менеджер не презентует компанию — 0.</t>
        </r>
      </text>
    </comment>
    <comment ref="R2" authorId="0">
      <text>
        <r>
          <rPr>
            <sz val="10"/>
            <color rgb="FF000000"/>
            <rFont val="Arial"/>
            <family val="2"/>
            <charset val="204"/>
          </rPr>
          <t>Менеджер сам ведёт диалог, а не просто отвечает на вопросы клиента — 1 балл.
Диалог ведёт клиент — 0.
Менеджер пытался вести диалог, но клиент попросил ответить на его вопросы, менеджер согласился — 1.</t>
        </r>
      </text>
    </comment>
    <comment ref="T2" authorId="0">
      <text>
        <r>
          <rPr>
            <sz val="10"/>
            <color rgb="FF000000"/>
            <rFont val="Arial"/>
            <family val="2"/>
            <charset val="204"/>
          </rPr>
          <t>Если у клиента было неявное возражение: «Я подумаю», менеджер уточняет, остались ли какие-то вопросы и что мешает определиться сейчас — 1 балл.
Не старается вскрыть возражение — 0.</t>
        </r>
      </text>
    </comment>
    <comment ref="U2" authorId="0">
      <text>
        <r>
          <rPr>
            <sz val="10"/>
            <color rgb="FF000000"/>
            <rFont val="Arial"/>
            <family val="2"/>
            <charset val="204"/>
          </rPr>
          <t>Если у клиента возникают возражения или сомнения, менеджер присоединяется к возражению, аргументирует его и изолирует, чтобы склонить клиента к покупке — 1 балл.
Менеджер не полностью отработал возражения, но попытка была — 0.5.
Менеджер не пытается отработать возражения — 0.</t>
        </r>
      </text>
    </comment>
    <comment ref="W2" authorId="0">
      <text>
        <r>
          <rPr>
            <sz val="10"/>
            <color rgb="FF000000"/>
            <rFont val="Arial"/>
            <family val="2"/>
            <charset val="204"/>
          </rPr>
          <t>Менеджер уточняет контактный телефон или почту, чтобы связаться с ним позже — 1 балл.
Не уточняет контакты — 0.</t>
        </r>
      </text>
    </comment>
    <comment ref="X2" authorId="0">
      <text>
        <r>
          <rPr>
            <sz val="10"/>
            <color rgb="FF000000"/>
            <rFont val="Arial"/>
            <family val="2"/>
            <charset val="204"/>
          </rPr>
          <t>Менеджер озвучивает дату следующей коммуникации. Например: «Я перезвоню вам в четверг, чтобы уточнить ваше решение?» — 1 балл.
Менеджер не назначает следующий шаг — 0.
Менеджер назначает непонятный следующий шаг. Например: «Я вам перезвоню», но нет чёткой даты — 0.
Клиент самостоятельно назначает следующий шаг — 0.</t>
        </r>
      </text>
    </comment>
  </commentList>
</comments>
</file>

<file path=xl/sharedStrings.xml><?xml version="1.0" encoding="utf-8"?>
<sst xmlns="http://schemas.openxmlformats.org/spreadsheetml/2006/main" count="169" uniqueCount="62">
  <si>
    <t>Качество коммуникации</t>
  </si>
  <si>
    <t>Выявление потребности</t>
  </si>
  <si>
    <t>Работа с возражениями</t>
  </si>
  <si>
    <t>Закрытие сделки</t>
  </si>
  <si>
    <t>Комментарии</t>
  </si>
  <si>
    <t>Приветствует клиента по корпоративному стандарту</t>
  </si>
  <si>
    <t>Речь грамотная и чёткая</t>
  </si>
  <si>
    <t>Обращается к клиенту по имени</t>
  </si>
  <si>
    <t>Не допускает долгих пауз в разговоре</t>
  </si>
  <si>
    <t>Презентует компанию</t>
  </si>
  <si>
    <t>Управляет разговором</t>
  </si>
  <si>
    <t>В случае неявного возражения: «Я подумаю», менеджер уточняет у клиента суть возражения</t>
  </si>
  <si>
    <t>Работает с возражениями</t>
  </si>
  <si>
    <t>Уточняет контакты</t>
  </si>
  <si>
    <t>Назначает дату следующего шага</t>
  </si>
  <si>
    <t>Плюсы</t>
  </si>
  <si>
    <t>Минусы</t>
  </si>
  <si>
    <t>Неделя</t>
  </si>
  <si>
    <t>Дата звонка</t>
  </si>
  <si>
    <t>Время звонка</t>
  </si>
  <si>
    <t>Длительность</t>
  </si>
  <si>
    <t>Менеджер</t>
  </si>
  <si>
    <t>Входящий</t>
  </si>
  <si>
    <t>Исходящий</t>
  </si>
  <si>
    <t>Презентация</t>
  </si>
  <si>
    <t>Выявляет потребность по поставщику</t>
  </si>
  <si>
    <t xml:space="preserve">Выявляет  техническую потребность </t>
  </si>
  <si>
    <t>Александр</t>
  </si>
  <si>
    <t xml:space="preserve">Не выявлял ЛПР, не уточнил имя, не выявлял потребность, за него это сделал клиент, сам все рассказав. </t>
  </si>
  <si>
    <t>Обработал возражение (01.05)</t>
  </si>
  <si>
    <t>2020/06/29 — 2020/07/03</t>
  </si>
  <si>
    <t>Попав в отдел снабжения, вместо того, чтобы выявить ЛПР сразу стал презентовать компанию, на что и получил возражение "не интересует"</t>
  </si>
  <si>
    <t>Попав в отдел снабжения, вместо того, чтобы выявить ЛПР сразу стал презентовать компанию, получил возражение "отправьте на почту"</t>
  </si>
  <si>
    <t>Андрей</t>
  </si>
  <si>
    <t>Не правильное выяснение ЛПР, плохая обработка возражения "на почту"</t>
  </si>
  <si>
    <t>Презентует сразу компанию, не уточняет контакты ЛПР, не назначает следующий шаг</t>
  </si>
  <si>
    <t>После возражения "на почту" записал почту и продолжил выявлять потребность</t>
  </si>
  <si>
    <t>Не обработал возражение "на почту"</t>
  </si>
  <si>
    <t>Мямлил, но один раз за разговор, презентует компанию сразу</t>
  </si>
  <si>
    <t>Вторичный звонок, не спросил телефон инженера, чтобы уточнить у него размеры</t>
  </si>
  <si>
    <t>Техническую потребность выяснил</t>
  </si>
  <si>
    <t>Следующий шаг не назначает</t>
  </si>
  <si>
    <t>Не обработал возражение "на почту", "из далека смысла нет везти"</t>
  </si>
  <si>
    <t>Не обработал возражение "через дорогу берем"</t>
  </si>
  <si>
    <t>Не обработал возражение "на почту", вообще секретарь сказал, что человека нет на месте, можно было спросить по какому номеру с ним можно позже связаться, как к нему обращаться.</t>
  </si>
  <si>
    <t>Алена</t>
  </si>
  <si>
    <t>Не обработала возражение "на почту"</t>
  </si>
  <si>
    <t>Выяснял появилась ли заявка, спросил так, что его даже не поняли, мямлил</t>
  </si>
  <si>
    <t>Назначила следуйющий шаг, презентует компанию</t>
  </si>
  <si>
    <t>Презентует сразу компанию, по потребности спрашивает только: "как часто закупают?", не уточняет насколько маленькие обьемы. Не назначает следующий шаг</t>
  </si>
  <si>
    <t>Не выяснял потребность, попытался обработать возражение "уже есть поставщик" фразами "ну у нас цены ниже" "качество хорошее"</t>
  </si>
  <si>
    <t>Презентует сразу компанию, по потребности спрашивает только: "как часто закупают?", запинается "да, да, да, нет, смотрите"</t>
  </si>
  <si>
    <t>По потребности спрашивает только: "как часто закупают?", "отечественные или импортные?"</t>
  </si>
  <si>
    <t>По потребности спрашивает только: "как часто закупают?" перебивает</t>
  </si>
  <si>
    <t xml:space="preserve">По потребности спрашивает только: "как часто закупают?" </t>
  </si>
  <si>
    <t xml:space="preserve"> 3:39:00 </t>
  </si>
  <si>
    <t>2:28:00 +</t>
  </si>
  <si>
    <t>2:00:00 +</t>
  </si>
  <si>
    <t>2020/06/06 — 2020/07/10</t>
  </si>
  <si>
    <t>Номер телефона</t>
  </si>
  <si>
    <t>Тип вызова</t>
  </si>
  <si>
    <t xml:space="preserve">Таблица оценки звонков 1 разговора </t>
  </si>
</sst>
</file>

<file path=xl/styles.xml><?xml version="1.0" encoding="utf-8"?>
<styleSheet xmlns="http://schemas.openxmlformats.org/spreadsheetml/2006/main">
  <fonts count="15">
    <font>
      <sz val="10"/>
      <color rgb="FF000000"/>
      <name val="Arial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6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  <border>
      <left/>
      <right/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/>
      <diagonal/>
    </border>
  </borders>
  <cellStyleXfs count="4">
    <xf numFmtId="0" fontId="0" fillId="0" borderId="0"/>
    <xf numFmtId="0" fontId="9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</cellStyleXfs>
  <cellXfs count="60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14" fontId="7" fillId="0" borderId="0" xfId="0" applyNumberFormat="1" applyFont="1" applyAlignment="1">
      <alignment horizontal="left" vertical="top"/>
    </xf>
    <xf numFmtId="19" fontId="7" fillId="0" borderId="0" xfId="0" applyNumberFormat="1" applyFont="1" applyAlignment="1">
      <alignment horizontal="left" vertical="top"/>
    </xf>
    <xf numFmtId="46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14" fontId="8" fillId="3" borderId="0" xfId="0" applyNumberFormat="1" applyFont="1" applyFill="1" applyAlignment="1">
      <alignment horizontal="left" vertical="top"/>
    </xf>
    <xf numFmtId="19" fontId="7" fillId="0" borderId="0" xfId="0" applyNumberFormat="1" applyFont="1" applyAlignment="1">
      <alignment horizontal="left" vertical="top"/>
    </xf>
    <xf numFmtId="21" fontId="7" fillId="0" borderId="0" xfId="0" applyNumberFormat="1" applyFont="1" applyAlignment="1">
      <alignment horizontal="left" vertical="top"/>
    </xf>
    <xf numFmtId="46" fontId="7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Font="1" applyAlignment="1"/>
    <xf numFmtId="0" fontId="10" fillId="2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0" fillId="0" borderId="0" xfId="0"/>
    <xf numFmtId="0" fontId="11" fillId="0" borderId="0" xfId="0" applyFont="1" applyAlignment="1">
      <alignment horizontal="left" vertical="top" wrapText="1"/>
    </xf>
    <xf numFmtId="0" fontId="0" fillId="0" borderId="0" xfId="0" applyFont="1" applyAlignment="1"/>
    <xf numFmtId="46" fontId="1" fillId="0" borderId="0" xfId="0" applyNumberFormat="1" applyFont="1" applyAlignment="1">
      <alignment horizontal="left" vertical="top"/>
    </xf>
    <xf numFmtId="21" fontId="0" fillId="0" borderId="0" xfId="0" applyNumberFormat="1" applyFont="1" applyAlignment="1">
      <alignment horizontal="left"/>
    </xf>
    <xf numFmtId="21" fontId="0" fillId="0" borderId="0" xfId="0" applyNumberFormat="1" applyFont="1" applyAlignment="1">
      <alignment horizontal="left" vertical="top"/>
    </xf>
    <xf numFmtId="0" fontId="8" fillId="0" borderId="0" xfId="0" applyFont="1" applyAlignment="1"/>
    <xf numFmtId="21" fontId="8" fillId="0" borderId="0" xfId="0" applyNumberFormat="1" applyFont="1" applyAlignment="1">
      <alignment horizontal="left"/>
    </xf>
    <xf numFmtId="0" fontId="1" fillId="0" borderId="0" xfId="0" applyFont="1" applyFill="1" applyBorder="1" applyAlignment="1">
      <alignment horizontal="left" vertical="top"/>
    </xf>
    <xf numFmtId="0" fontId="0" fillId="0" borderId="0" xfId="0" applyFont="1" applyAlignment="1"/>
    <xf numFmtId="0" fontId="1" fillId="2" borderId="2" xfId="0" applyFont="1" applyFill="1" applyBorder="1" applyAlignment="1">
      <alignment horizontal="left" vertical="top" wrapText="1"/>
    </xf>
    <xf numFmtId="0" fontId="0" fillId="0" borderId="0" xfId="0" applyAlignment="1"/>
    <xf numFmtId="0" fontId="13" fillId="6" borderId="0" xfId="3" applyAlignment="1">
      <alignment horizontal="left" vertical="top"/>
    </xf>
    <xf numFmtId="0" fontId="13" fillId="6" borderId="0" xfId="3" applyBorder="1" applyAlignment="1">
      <alignment horizontal="left" vertical="top"/>
    </xf>
    <xf numFmtId="0" fontId="12" fillId="5" borderId="0" xfId="2" applyAlignment="1">
      <alignment horizontal="left" vertical="top"/>
    </xf>
    <xf numFmtId="0" fontId="0" fillId="0" borderId="0" xfId="0" applyFont="1" applyAlignment="1">
      <alignment horizontal="left"/>
    </xf>
    <xf numFmtId="21" fontId="0" fillId="0" borderId="0" xfId="0" applyNumberFormat="1" applyAlignment="1">
      <alignment horizontal="left"/>
    </xf>
    <xf numFmtId="0" fontId="9" fillId="4" borderId="0" xfId="1" applyAlignment="1">
      <alignment horizontal="left" vertical="top"/>
    </xf>
    <xf numFmtId="0" fontId="9" fillId="4" borderId="0" xfId="1" applyBorder="1" applyAlignment="1">
      <alignment horizontal="left" vertical="top"/>
    </xf>
    <xf numFmtId="0" fontId="0" fillId="0" borderId="0" xfId="0" applyAlignment="1">
      <alignment horizontal="left"/>
    </xf>
    <xf numFmtId="14" fontId="0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0" borderId="6" xfId="0" applyFont="1" applyBorder="1"/>
    <xf numFmtId="0" fontId="4" fillId="2" borderId="2" xfId="0" applyFont="1" applyFill="1" applyBorder="1" applyAlignment="1">
      <alignment horizontal="left" vertical="top" wrapText="1"/>
    </xf>
    <xf numFmtId="0" fontId="1" fillId="0" borderId="3" xfId="0" applyFont="1" applyBorder="1"/>
    <xf numFmtId="0" fontId="5" fillId="2" borderId="2" xfId="0" applyFont="1" applyFill="1" applyBorder="1" applyAlignment="1">
      <alignment horizontal="left" vertical="top"/>
    </xf>
    <xf numFmtId="0" fontId="1" fillId="0" borderId="5" xfId="0" applyFont="1" applyBorder="1"/>
    <xf numFmtId="0" fontId="13" fillId="6" borderId="0" xfId="3" applyAlignment="1">
      <alignment horizontal="left"/>
    </xf>
    <xf numFmtId="0" fontId="12" fillId="5" borderId="0" xfId="2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</cellXfs>
  <cellStyles count="4">
    <cellStyle name="60% - Акцент2" xfId="3" builtinId="36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C56"/>
  <sheetViews>
    <sheetView tabSelected="1" workbookViewId="0">
      <pane xSplit="8" ySplit="5" topLeftCell="I6" activePane="bottomRight" state="frozen"/>
      <selection pane="topRight" activeCell="I1" sqref="I1"/>
      <selection pane="bottomLeft" activeCell="A7" sqref="A7"/>
      <selection pane="bottomRight" activeCell="D9" sqref="D9"/>
    </sheetView>
  </sheetViews>
  <sheetFormatPr defaultColWidth="14.42578125" defaultRowHeight="15.75" customHeight="1"/>
  <cols>
    <col min="1" max="1" width="3" customWidth="1"/>
    <col min="2" max="2" width="17.28515625" customWidth="1"/>
    <col min="3" max="3" width="11.140625" customWidth="1"/>
    <col min="4" max="4" width="11.5703125" customWidth="1"/>
    <col min="5" max="5" width="12.5703125" customWidth="1"/>
    <col min="6" max="6" width="11.7109375" customWidth="1"/>
    <col min="7" max="7" width="11.5703125" customWidth="1"/>
    <col min="8" max="8" width="12.140625" customWidth="1"/>
    <col min="9" max="9" width="3" customWidth="1"/>
    <col min="14" max="14" width="3" customWidth="1"/>
    <col min="19" max="19" width="3" customWidth="1"/>
    <col min="22" max="22" width="3" customWidth="1"/>
    <col min="25" max="26" width="3" customWidth="1"/>
    <col min="27" max="27" width="55.7109375" customWidth="1"/>
    <col min="28" max="28" width="91.140625" customWidth="1"/>
    <col min="29" max="29" width="3" customWidth="1"/>
  </cols>
  <sheetData>
    <row r="1" spans="1:29" ht="12.75">
      <c r="A1" s="1"/>
      <c r="B1" s="1"/>
      <c r="C1" s="1"/>
      <c r="D1" s="1"/>
      <c r="E1" s="1"/>
      <c r="F1" s="1"/>
      <c r="G1" s="2"/>
      <c r="H1" s="1"/>
      <c r="I1" s="3"/>
      <c r="J1" s="4" t="s">
        <v>0</v>
      </c>
      <c r="K1" s="1"/>
      <c r="L1" s="1"/>
      <c r="M1" s="1"/>
      <c r="N1" s="1"/>
      <c r="O1" s="23" t="s">
        <v>1</v>
      </c>
      <c r="P1" s="1"/>
      <c r="Q1" s="26" t="s">
        <v>24</v>
      </c>
      <c r="R1" s="1"/>
      <c r="S1" s="1"/>
      <c r="T1" s="5" t="s">
        <v>2</v>
      </c>
      <c r="U1" s="1"/>
      <c r="V1" s="1"/>
      <c r="W1" s="5" t="s">
        <v>3</v>
      </c>
      <c r="X1" s="1"/>
      <c r="Y1" s="1"/>
      <c r="Z1" s="1"/>
      <c r="AA1" s="6" t="s">
        <v>4</v>
      </c>
      <c r="AB1" s="1"/>
      <c r="AC1" s="1"/>
    </row>
    <row r="2" spans="1:29" ht="23.25" customHeight="1">
      <c r="A2" s="1"/>
      <c r="B2" s="59" t="s">
        <v>61</v>
      </c>
      <c r="C2" s="1"/>
      <c r="D2" s="1"/>
      <c r="E2" s="1"/>
      <c r="F2" s="1"/>
      <c r="G2" s="53" t="str">
        <f>HYPERLINK("http://www.it-agency.ru/?utm_medium=referral&amp;utm_source=docs.google.com&amp;utm_campaign=call_rating_table_logo","")</f>
        <v/>
      </c>
      <c r="H2" s="54"/>
      <c r="I2" s="3"/>
      <c r="J2" s="50" t="s">
        <v>5</v>
      </c>
      <c r="K2" s="50" t="s">
        <v>6</v>
      </c>
      <c r="L2" s="50" t="s">
        <v>7</v>
      </c>
      <c r="M2" s="50" t="s">
        <v>8</v>
      </c>
      <c r="N2" s="50"/>
      <c r="O2" s="50" t="s">
        <v>25</v>
      </c>
      <c r="P2" s="50" t="s">
        <v>26</v>
      </c>
      <c r="Q2" s="50" t="s">
        <v>9</v>
      </c>
      <c r="R2" s="50" t="s">
        <v>10</v>
      </c>
      <c r="S2" s="50"/>
      <c r="T2" s="50" t="s">
        <v>11</v>
      </c>
      <c r="U2" s="50" t="s">
        <v>12</v>
      </c>
      <c r="V2" s="50"/>
      <c r="W2" s="50" t="s">
        <v>13</v>
      </c>
      <c r="X2" s="50" t="s">
        <v>14</v>
      </c>
      <c r="Y2" s="50"/>
      <c r="Z2" s="50"/>
      <c r="AA2" s="50" t="s">
        <v>15</v>
      </c>
      <c r="AB2" s="50" t="s">
        <v>16</v>
      </c>
      <c r="AC2" s="50"/>
    </row>
    <row r="3" spans="1:29" ht="12.75">
      <c r="A3" s="1"/>
      <c r="B3" s="55"/>
      <c r="C3" s="56"/>
      <c r="D3" s="56"/>
      <c r="E3" s="56"/>
      <c r="F3" s="56"/>
      <c r="G3" s="54"/>
      <c r="H3" s="1"/>
      <c r="I3" s="3"/>
      <c r="J3" s="52"/>
      <c r="K3" s="52"/>
      <c r="L3" s="52"/>
      <c r="M3" s="52"/>
      <c r="N3" s="51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spans="1:29" ht="12.75">
      <c r="A4" s="1"/>
      <c r="B4" s="7"/>
      <c r="C4" s="1"/>
      <c r="D4" s="1"/>
      <c r="E4" s="1"/>
      <c r="F4" s="1"/>
      <c r="G4" s="2"/>
      <c r="H4" s="1"/>
      <c r="I4" s="3"/>
      <c r="J4" s="52"/>
      <c r="K4" s="52"/>
      <c r="L4" s="52"/>
      <c r="M4" s="52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spans="1:29" ht="25.5">
      <c r="A5" s="1"/>
      <c r="B5" s="24" t="s">
        <v>17</v>
      </c>
      <c r="C5" s="24" t="s">
        <v>18</v>
      </c>
      <c r="D5" s="24" t="s">
        <v>19</v>
      </c>
      <c r="E5" s="24" t="s">
        <v>20</v>
      </c>
      <c r="F5" s="24" t="s">
        <v>59</v>
      </c>
      <c r="G5" s="38" t="s">
        <v>60</v>
      </c>
      <c r="H5" s="24" t="s">
        <v>21</v>
      </c>
      <c r="I5" s="3"/>
      <c r="J5" s="52"/>
      <c r="K5" s="52"/>
      <c r="L5" s="52"/>
      <c r="M5" s="52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spans="1:29" ht="45.75" customHeight="1">
      <c r="A6" s="8"/>
      <c r="B6" s="27" t="s">
        <v>30</v>
      </c>
      <c r="C6" s="10">
        <v>44015</v>
      </c>
      <c r="D6" s="11">
        <v>0.41388888888888892</v>
      </c>
      <c r="E6" s="31">
        <v>7.2222222222222229E-2</v>
      </c>
      <c r="F6" s="9">
        <v>74967759191</v>
      </c>
      <c r="G6" s="27" t="s">
        <v>23</v>
      </c>
      <c r="H6" s="27" t="s">
        <v>27</v>
      </c>
      <c r="I6" s="3"/>
      <c r="J6" s="45">
        <v>1</v>
      </c>
      <c r="K6" s="45">
        <v>1</v>
      </c>
      <c r="L6" s="40">
        <v>0</v>
      </c>
      <c r="M6" s="45">
        <v>1</v>
      </c>
      <c r="N6" s="8"/>
      <c r="O6" s="47">
        <v>0</v>
      </c>
      <c r="P6" s="40">
        <v>0</v>
      </c>
      <c r="Q6" s="45">
        <v>1</v>
      </c>
      <c r="R6" s="40">
        <v>0</v>
      </c>
      <c r="S6" s="1"/>
      <c r="T6" s="16"/>
      <c r="U6" s="45">
        <v>1</v>
      </c>
      <c r="V6" s="1"/>
      <c r="W6" s="15"/>
      <c r="X6" s="16"/>
      <c r="Y6" s="2"/>
      <c r="Z6" s="3"/>
      <c r="AA6" s="29" t="s">
        <v>29</v>
      </c>
      <c r="AB6" s="29" t="s">
        <v>28</v>
      </c>
      <c r="AC6" s="1"/>
    </row>
    <row r="7" spans="1:29" ht="12.75">
      <c r="A7" s="8"/>
      <c r="B7" s="27" t="s">
        <v>30</v>
      </c>
      <c r="C7" s="10">
        <v>44015</v>
      </c>
      <c r="D7" s="11">
        <v>0.42569444444444443</v>
      </c>
      <c r="E7" s="12">
        <v>2.6388888888888889E-2</v>
      </c>
      <c r="F7" s="9">
        <v>74712329828</v>
      </c>
      <c r="G7" s="13" t="s">
        <v>23</v>
      </c>
      <c r="H7" s="27" t="s">
        <v>27</v>
      </c>
      <c r="I7" s="3"/>
      <c r="J7" s="14"/>
      <c r="K7" s="14"/>
      <c r="L7" s="15"/>
      <c r="M7" s="14"/>
      <c r="N7" s="8"/>
      <c r="O7" s="47"/>
      <c r="P7" s="14"/>
      <c r="Q7" s="14"/>
      <c r="R7" s="14"/>
      <c r="S7" s="1"/>
      <c r="T7" s="16"/>
      <c r="U7" s="16"/>
      <c r="V7" s="1"/>
      <c r="W7" s="16"/>
      <c r="X7" s="15"/>
      <c r="Y7" s="2"/>
      <c r="Z7" s="3"/>
      <c r="AA7" s="17"/>
      <c r="AB7" s="17"/>
      <c r="AC7" s="1"/>
    </row>
    <row r="8" spans="1:29" ht="12.75">
      <c r="A8" s="8"/>
      <c r="B8" s="27" t="s">
        <v>30</v>
      </c>
      <c r="C8" s="10">
        <v>44015</v>
      </c>
      <c r="D8" s="11">
        <v>0.4458333333333333</v>
      </c>
      <c r="E8" s="12">
        <v>3.6805555555555557E-2</v>
      </c>
      <c r="F8" s="9">
        <v>74955213197</v>
      </c>
      <c r="G8" s="27" t="s">
        <v>23</v>
      </c>
      <c r="H8" s="27" t="s">
        <v>27</v>
      </c>
      <c r="I8" s="3"/>
      <c r="J8" s="14"/>
      <c r="K8" s="14"/>
      <c r="L8" s="14"/>
      <c r="M8" s="14"/>
      <c r="N8" s="8"/>
      <c r="O8" s="47"/>
      <c r="P8" s="14"/>
      <c r="Q8" s="14"/>
      <c r="R8" s="14"/>
      <c r="S8" s="1"/>
      <c r="T8" s="14"/>
      <c r="U8" s="14"/>
      <c r="V8" s="1"/>
      <c r="W8" s="14"/>
      <c r="X8" s="14"/>
      <c r="Y8" s="2"/>
      <c r="Z8" s="3"/>
      <c r="AA8" s="14"/>
      <c r="AB8" s="14"/>
      <c r="AC8" s="1"/>
    </row>
    <row r="9" spans="1:29" ht="24.75" customHeight="1">
      <c r="A9" s="8"/>
      <c r="B9" s="27" t="s">
        <v>30</v>
      </c>
      <c r="C9" s="10">
        <v>44015</v>
      </c>
      <c r="D9" s="11">
        <v>0.45347222222222222</v>
      </c>
      <c r="E9" s="12">
        <v>1.5277777777777777E-2</v>
      </c>
      <c r="F9" s="9">
        <v>78352626660</v>
      </c>
      <c r="G9" s="13" t="s">
        <v>23</v>
      </c>
      <c r="H9" s="27" t="s">
        <v>27</v>
      </c>
      <c r="I9" s="3"/>
      <c r="J9" s="14">
        <v>1</v>
      </c>
      <c r="K9" s="14">
        <v>1</v>
      </c>
      <c r="L9" s="14">
        <v>0</v>
      </c>
      <c r="M9" s="14">
        <v>1</v>
      </c>
      <c r="N9" s="8"/>
      <c r="O9" s="47">
        <v>0</v>
      </c>
      <c r="P9" s="16">
        <v>0</v>
      </c>
      <c r="Q9" s="14">
        <v>1</v>
      </c>
      <c r="R9" s="14">
        <v>1</v>
      </c>
      <c r="S9" s="1"/>
      <c r="T9" s="16"/>
      <c r="U9" s="16">
        <v>0</v>
      </c>
      <c r="V9" s="1"/>
      <c r="W9" s="16"/>
      <c r="X9" s="14"/>
      <c r="Y9" s="2"/>
      <c r="Z9" s="3"/>
      <c r="AA9" s="27"/>
      <c r="AB9" s="27" t="s">
        <v>31</v>
      </c>
      <c r="AC9" s="1"/>
    </row>
    <row r="10" spans="1:29" ht="29.25" customHeight="1">
      <c r="A10" s="18"/>
      <c r="B10" s="27" t="s">
        <v>30</v>
      </c>
      <c r="C10" s="19">
        <v>44015</v>
      </c>
      <c r="D10" s="20">
        <v>0.4916666666666667</v>
      </c>
      <c r="E10" s="21">
        <v>2.0833333333333332E-2</v>
      </c>
      <c r="F10" s="9">
        <v>78353323581</v>
      </c>
      <c r="G10" s="13" t="s">
        <v>23</v>
      </c>
      <c r="H10" s="13" t="s">
        <v>27</v>
      </c>
      <c r="I10" s="3"/>
      <c r="J10" s="16">
        <v>1</v>
      </c>
      <c r="K10" s="16">
        <v>1</v>
      </c>
      <c r="L10" s="16">
        <v>0</v>
      </c>
      <c r="M10" s="16">
        <v>1</v>
      </c>
      <c r="N10" s="18"/>
      <c r="O10" s="47">
        <v>0</v>
      </c>
      <c r="P10" s="16">
        <v>0</v>
      </c>
      <c r="Q10" s="16">
        <v>1</v>
      </c>
      <c r="R10" s="16"/>
      <c r="S10" s="1"/>
      <c r="T10" s="14"/>
      <c r="U10" s="14">
        <v>0</v>
      </c>
      <c r="V10" s="1"/>
      <c r="W10" s="16"/>
      <c r="X10" s="16"/>
      <c r="Y10" s="2"/>
      <c r="Z10" s="3"/>
      <c r="AA10" s="14"/>
      <c r="AB10" s="27" t="s">
        <v>32</v>
      </c>
      <c r="AC10" s="1"/>
    </row>
    <row r="11" spans="1:29" ht="12.75">
      <c r="A11" s="8"/>
      <c r="B11" s="27" t="s">
        <v>30</v>
      </c>
      <c r="C11" s="10">
        <v>44015</v>
      </c>
      <c r="D11" s="11">
        <v>0.52638888888888891</v>
      </c>
      <c r="E11" s="12">
        <v>2.4999999999999998E-2</v>
      </c>
      <c r="F11" s="9">
        <v>78453360126</v>
      </c>
      <c r="G11" s="13" t="s">
        <v>23</v>
      </c>
      <c r="H11" s="27" t="s">
        <v>27</v>
      </c>
      <c r="I11" s="3"/>
      <c r="J11" s="14">
        <v>1</v>
      </c>
      <c r="K11" s="14">
        <v>1</v>
      </c>
      <c r="L11" s="14">
        <v>0</v>
      </c>
      <c r="M11" s="14">
        <v>1</v>
      </c>
      <c r="N11" s="8"/>
      <c r="O11" s="47">
        <v>0</v>
      </c>
      <c r="P11" s="14">
        <v>0</v>
      </c>
      <c r="Q11" s="14">
        <v>1</v>
      </c>
      <c r="R11" s="14">
        <v>1</v>
      </c>
      <c r="S11" s="1"/>
      <c r="T11" s="16"/>
      <c r="U11" s="16">
        <v>0</v>
      </c>
      <c r="V11" s="1"/>
      <c r="W11" s="16"/>
      <c r="X11" s="14"/>
      <c r="Y11" s="2"/>
      <c r="Z11" s="3"/>
      <c r="AA11" s="14"/>
      <c r="AB11" s="27" t="s">
        <v>32</v>
      </c>
      <c r="AC11" s="1"/>
    </row>
    <row r="12" spans="1:29" ht="12.75">
      <c r="A12" s="8"/>
      <c r="B12" s="27" t="s">
        <v>30</v>
      </c>
      <c r="C12" s="10">
        <v>44015</v>
      </c>
      <c r="D12" s="11">
        <v>0.40763888888888888</v>
      </c>
      <c r="E12" s="12">
        <v>5.6250000000000001E-2</v>
      </c>
      <c r="F12" s="9">
        <v>78123359947</v>
      </c>
      <c r="G12" s="13" t="s">
        <v>23</v>
      </c>
      <c r="H12" s="27" t="s">
        <v>33</v>
      </c>
      <c r="I12" s="3"/>
      <c r="J12" s="14">
        <v>1</v>
      </c>
      <c r="K12" s="14">
        <v>1</v>
      </c>
      <c r="L12" s="14">
        <v>0</v>
      </c>
      <c r="M12" s="14">
        <v>1</v>
      </c>
      <c r="N12" s="8"/>
      <c r="O12" s="47">
        <v>0</v>
      </c>
      <c r="P12" s="14">
        <v>0</v>
      </c>
      <c r="Q12" s="14">
        <v>0</v>
      </c>
      <c r="R12" s="14"/>
      <c r="S12" s="1"/>
      <c r="T12" s="16"/>
      <c r="U12" s="16">
        <v>0.5</v>
      </c>
      <c r="V12" s="1"/>
      <c r="W12" s="14"/>
      <c r="X12" s="14"/>
      <c r="Y12" s="2"/>
      <c r="Z12" s="3"/>
      <c r="AA12" s="14"/>
      <c r="AB12" s="27" t="s">
        <v>34</v>
      </c>
      <c r="AC12" s="1"/>
    </row>
    <row r="13" spans="1:29" ht="12.75">
      <c r="A13" s="8"/>
      <c r="B13" s="27" t="s">
        <v>30</v>
      </c>
      <c r="C13" s="10">
        <v>44015</v>
      </c>
      <c r="D13" s="11">
        <v>0.41111111111111115</v>
      </c>
      <c r="E13" s="12">
        <v>4.5138888888888888E-2</v>
      </c>
      <c r="F13" s="9">
        <v>73452560617</v>
      </c>
      <c r="G13" s="13" t="s">
        <v>22</v>
      </c>
      <c r="H13" s="27" t="s">
        <v>33</v>
      </c>
      <c r="I13" s="3"/>
      <c r="J13" s="14">
        <v>1</v>
      </c>
      <c r="K13" s="14">
        <v>1</v>
      </c>
      <c r="L13" s="14"/>
      <c r="M13" s="14">
        <v>1</v>
      </c>
      <c r="N13" s="8"/>
      <c r="O13" s="47"/>
      <c r="P13" s="14"/>
      <c r="Q13" s="14"/>
      <c r="R13" s="14"/>
      <c r="S13" s="1"/>
      <c r="T13" s="16"/>
      <c r="U13" s="16"/>
      <c r="V13" s="1"/>
      <c r="W13" s="16"/>
      <c r="X13" s="15"/>
      <c r="Y13" s="2"/>
      <c r="Z13" s="3"/>
      <c r="AA13" s="14"/>
      <c r="AB13" s="14"/>
      <c r="AC13" s="1"/>
    </row>
    <row r="14" spans="1:29" ht="15">
      <c r="A14" s="18"/>
      <c r="B14" s="27" t="s">
        <v>30</v>
      </c>
      <c r="C14" s="19">
        <v>44015</v>
      </c>
      <c r="D14" s="20">
        <v>0.4201388888888889</v>
      </c>
      <c r="E14" s="31">
        <v>9.5833333333333326E-2</v>
      </c>
      <c r="F14" s="9">
        <v>78342471406</v>
      </c>
      <c r="G14" s="13" t="s">
        <v>23</v>
      </c>
      <c r="H14" s="27" t="s">
        <v>33</v>
      </c>
      <c r="I14" s="3"/>
      <c r="J14" s="45">
        <v>1</v>
      </c>
      <c r="K14" s="42">
        <v>0.5</v>
      </c>
      <c r="L14" s="40">
        <v>0</v>
      </c>
      <c r="M14" s="45">
        <v>1</v>
      </c>
      <c r="N14" s="18"/>
      <c r="O14" s="57">
        <v>0</v>
      </c>
      <c r="P14" s="45">
        <v>1</v>
      </c>
      <c r="Q14" s="45">
        <v>1</v>
      </c>
      <c r="R14" s="45">
        <v>1</v>
      </c>
      <c r="S14" s="1"/>
      <c r="T14" s="14"/>
      <c r="U14" s="40">
        <v>0</v>
      </c>
      <c r="V14" s="1"/>
      <c r="W14" s="40">
        <v>0</v>
      </c>
      <c r="X14" s="40">
        <v>0</v>
      </c>
      <c r="Y14" s="2"/>
      <c r="Z14" s="3"/>
      <c r="AA14" s="27" t="s">
        <v>36</v>
      </c>
      <c r="AB14" s="27" t="s">
        <v>35</v>
      </c>
      <c r="AC14" s="1"/>
    </row>
    <row r="15" spans="1:29" ht="12.75">
      <c r="A15" s="18"/>
      <c r="B15" s="27" t="s">
        <v>30</v>
      </c>
      <c r="C15" s="10">
        <v>44015</v>
      </c>
      <c r="D15" s="20">
        <v>0.4291666666666667</v>
      </c>
      <c r="E15" s="22">
        <v>4.5138888888888888E-2</v>
      </c>
      <c r="F15" s="9">
        <v>74732694139</v>
      </c>
      <c r="G15" s="13" t="s">
        <v>23</v>
      </c>
      <c r="H15" s="27" t="s">
        <v>33</v>
      </c>
      <c r="I15" s="3"/>
      <c r="J15" s="16">
        <v>1</v>
      </c>
      <c r="K15" s="16">
        <v>0</v>
      </c>
      <c r="L15" s="16"/>
      <c r="M15" s="16">
        <v>1</v>
      </c>
      <c r="N15" s="18"/>
      <c r="O15" s="47">
        <v>0</v>
      </c>
      <c r="P15" s="16">
        <v>0</v>
      </c>
      <c r="Q15" s="16">
        <v>0</v>
      </c>
      <c r="R15" s="16">
        <v>1</v>
      </c>
      <c r="S15" s="1"/>
      <c r="T15" s="16"/>
      <c r="U15" s="28">
        <v>0</v>
      </c>
      <c r="V15" s="28"/>
      <c r="W15" s="28">
        <v>0</v>
      </c>
      <c r="X15" s="28">
        <v>0</v>
      </c>
      <c r="Y15" s="2"/>
      <c r="Z15" s="3"/>
      <c r="AA15" s="14"/>
      <c r="AB15" s="27" t="s">
        <v>37</v>
      </c>
      <c r="AC15" s="1"/>
    </row>
    <row r="16" spans="1:29" ht="15">
      <c r="A16" s="8"/>
      <c r="B16" s="27" t="s">
        <v>30</v>
      </c>
      <c r="C16" s="10">
        <v>44015</v>
      </c>
      <c r="D16" s="11">
        <v>0.43402777777777773</v>
      </c>
      <c r="E16" s="31">
        <v>1.6666666666666666E-2</v>
      </c>
      <c r="F16" s="9">
        <v>78332220930</v>
      </c>
      <c r="G16" s="13" t="s">
        <v>23</v>
      </c>
      <c r="H16" s="27" t="s">
        <v>33</v>
      </c>
      <c r="I16" s="3"/>
      <c r="J16" s="45">
        <v>1</v>
      </c>
      <c r="K16" s="40">
        <v>0</v>
      </c>
      <c r="L16" s="40">
        <v>0</v>
      </c>
      <c r="M16" s="45">
        <v>1</v>
      </c>
      <c r="N16" s="8"/>
      <c r="O16" s="47"/>
      <c r="P16" s="14"/>
      <c r="Q16" s="14"/>
      <c r="R16" s="14"/>
      <c r="S16" s="1"/>
      <c r="T16" s="16"/>
      <c r="U16" s="16"/>
      <c r="V16" s="1"/>
      <c r="W16" s="14"/>
      <c r="X16" s="14"/>
      <c r="Y16" s="2"/>
      <c r="Z16" s="3"/>
      <c r="AA16" s="14"/>
      <c r="AB16" s="16" t="s">
        <v>47</v>
      </c>
      <c r="AC16" s="1"/>
    </row>
    <row r="17" spans="1:29" ht="15">
      <c r="A17" s="8"/>
      <c r="B17" s="27" t="s">
        <v>30</v>
      </c>
      <c r="C17" s="10">
        <v>44015</v>
      </c>
      <c r="D17" s="11">
        <v>0.4381944444444445</v>
      </c>
      <c r="E17" s="31">
        <v>0.15625</v>
      </c>
      <c r="F17" s="9">
        <v>73433592959</v>
      </c>
      <c r="G17" s="13" t="s">
        <v>23</v>
      </c>
      <c r="H17" s="27" t="s">
        <v>33</v>
      </c>
      <c r="I17" s="3"/>
      <c r="J17" s="45">
        <v>1</v>
      </c>
      <c r="K17" s="42">
        <v>0.5</v>
      </c>
      <c r="L17" s="40">
        <v>0</v>
      </c>
      <c r="M17" s="45">
        <v>1</v>
      </c>
      <c r="N17" s="8"/>
      <c r="O17" s="57">
        <v>0</v>
      </c>
      <c r="P17" s="45">
        <v>1</v>
      </c>
      <c r="Q17" s="45">
        <v>1</v>
      </c>
      <c r="R17" s="45">
        <v>1</v>
      </c>
      <c r="S17" s="1"/>
      <c r="T17" s="14"/>
      <c r="U17" s="14"/>
      <c r="V17" s="1"/>
      <c r="W17" s="14"/>
      <c r="X17" s="15"/>
      <c r="Y17" s="2"/>
      <c r="Z17" s="3"/>
      <c r="AA17" s="14"/>
      <c r="AB17" s="27" t="s">
        <v>38</v>
      </c>
      <c r="AC17" s="1"/>
    </row>
    <row r="18" spans="1:29" ht="12.75">
      <c r="A18" s="8"/>
      <c r="B18" s="27" t="s">
        <v>30</v>
      </c>
      <c r="C18" s="10">
        <v>44015</v>
      </c>
      <c r="D18" s="11">
        <v>0.44375000000000003</v>
      </c>
      <c r="E18" s="12">
        <v>2.2916666666666669E-2</v>
      </c>
      <c r="F18" s="9">
        <v>73532301333</v>
      </c>
      <c r="G18" s="13" t="s">
        <v>23</v>
      </c>
      <c r="H18" s="27" t="s">
        <v>33</v>
      </c>
      <c r="I18" s="3"/>
      <c r="J18" s="14">
        <v>1</v>
      </c>
      <c r="K18" s="14">
        <v>1</v>
      </c>
      <c r="L18" s="14"/>
      <c r="M18" s="14">
        <v>1</v>
      </c>
      <c r="N18" s="8"/>
      <c r="O18" s="47">
        <v>0</v>
      </c>
      <c r="P18" s="14">
        <v>0</v>
      </c>
      <c r="Q18" s="14"/>
      <c r="R18" s="14"/>
      <c r="S18" s="1"/>
      <c r="T18" s="16"/>
      <c r="U18" s="16">
        <v>0</v>
      </c>
      <c r="V18" s="1"/>
      <c r="W18" s="14"/>
      <c r="X18" s="15"/>
      <c r="Y18" s="2"/>
      <c r="Z18" s="3"/>
      <c r="AA18" s="14"/>
      <c r="AB18" s="27" t="s">
        <v>37</v>
      </c>
      <c r="AC18" s="1"/>
    </row>
    <row r="19" spans="1:29" ht="12.75">
      <c r="A19" s="18"/>
      <c r="B19" s="27" t="s">
        <v>30</v>
      </c>
      <c r="C19" s="10">
        <v>44015</v>
      </c>
      <c r="D19" s="20">
        <v>0.4465277777777778</v>
      </c>
      <c r="E19" s="22">
        <v>2.6388888888888889E-2</v>
      </c>
      <c r="F19" s="9">
        <v>73537203065</v>
      </c>
      <c r="G19" s="13" t="s">
        <v>23</v>
      </c>
      <c r="H19" s="27" t="s">
        <v>33</v>
      </c>
      <c r="I19" s="3"/>
      <c r="J19" s="16"/>
      <c r="K19" s="16"/>
      <c r="L19" s="16"/>
      <c r="M19" s="16"/>
      <c r="N19" s="18"/>
      <c r="O19" s="47"/>
      <c r="P19" s="16"/>
      <c r="Q19" s="16"/>
      <c r="R19" s="16"/>
      <c r="S19" s="1"/>
      <c r="T19" s="16"/>
      <c r="U19" s="16">
        <v>0</v>
      </c>
      <c r="V19" s="1"/>
      <c r="W19" s="16"/>
      <c r="X19" s="16"/>
      <c r="Y19" s="2"/>
      <c r="Z19" s="3"/>
      <c r="AA19" s="14"/>
      <c r="AB19" s="16" t="s">
        <v>37</v>
      </c>
      <c r="AC19" s="1"/>
    </row>
    <row r="20" spans="1:29" ht="15">
      <c r="A20" s="18"/>
      <c r="B20" s="27" t="s">
        <v>30</v>
      </c>
      <c r="C20" s="10">
        <v>44015</v>
      </c>
      <c r="D20" s="20">
        <v>0.4548611111111111</v>
      </c>
      <c r="E20" s="31">
        <v>8.9583333333333334E-2</v>
      </c>
      <c r="F20" s="9">
        <v>73513640207</v>
      </c>
      <c r="G20" s="9" t="s">
        <v>23</v>
      </c>
      <c r="H20" s="27" t="s">
        <v>33</v>
      </c>
      <c r="I20" s="3"/>
      <c r="J20" s="45">
        <v>1</v>
      </c>
      <c r="K20" s="16"/>
      <c r="L20" s="16"/>
      <c r="M20" s="16"/>
      <c r="N20" s="18"/>
      <c r="O20" s="47"/>
      <c r="P20" s="16"/>
      <c r="Q20" s="16"/>
      <c r="R20" s="16"/>
      <c r="S20" s="1"/>
      <c r="T20" s="16"/>
      <c r="U20" s="16"/>
      <c r="V20" s="1"/>
      <c r="W20" s="16"/>
      <c r="X20" s="40">
        <v>0</v>
      </c>
      <c r="Y20" s="2"/>
      <c r="Z20" s="3"/>
      <c r="AA20" s="14"/>
      <c r="AB20" s="27" t="s">
        <v>39</v>
      </c>
      <c r="AC20" s="1"/>
    </row>
    <row r="21" spans="1:29" ht="15">
      <c r="A21" s="8"/>
      <c r="B21" s="27" t="s">
        <v>30</v>
      </c>
      <c r="C21" s="10">
        <v>44015</v>
      </c>
      <c r="D21" s="11">
        <v>0.46666666666666662</v>
      </c>
      <c r="E21" s="31">
        <v>0.18819444444444444</v>
      </c>
      <c r="F21" s="9">
        <v>73422647067</v>
      </c>
      <c r="G21" s="13" t="s">
        <v>23</v>
      </c>
      <c r="H21" s="27" t="s">
        <v>33</v>
      </c>
      <c r="I21" s="3"/>
      <c r="J21" s="45">
        <v>1</v>
      </c>
      <c r="K21" s="42">
        <v>0.5</v>
      </c>
      <c r="L21" s="42">
        <v>0.5</v>
      </c>
      <c r="M21" s="45">
        <v>1</v>
      </c>
      <c r="N21" s="8"/>
      <c r="O21" s="57">
        <v>0</v>
      </c>
      <c r="P21" s="45">
        <v>1</v>
      </c>
      <c r="Q21" s="45">
        <v>1</v>
      </c>
      <c r="R21" s="45">
        <v>1</v>
      </c>
      <c r="S21" s="1"/>
      <c r="T21" s="14"/>
      <c r="U21" s="14"/>
      <c r="V21" s="1"/>
      <c r="W21" s="16"/>
      <c r="X21" s="15"/>
      <c r="Y21" s="2"/>
      <c r="Z21" s="3"/>
      <c r="AA21" s="27" t="s">
        <v>40</v>
      </c>
      <c r="AB21" s="27" t="s">
        <v>41</v>
      </c>
      <c r="AC21" s="1"/>
    </row>
    <row r="22" spans="1:29" ht="15">
      <c r="A22" s="8"/>
      <c r="B22" s="27" t="s">
        <v>30</v>
      </c>
      <c r="C22" s="10">
        <v>44015</v>
      </c>
      <c r="D22" s="11">
        <v>0.49236111111111108</v>
      </c>
      <c r="E22" s="31">
        <v>7.5694444444444439E-2</v>
      </c>
      <c r="F22" s="9">
        <v>73412930137</v>
      </c>
      <c r="G22" s="13" t="s">
        <v>23</v>
      </c>
      <c r="H22" s="27" t="s">
        <v>33</v>
      </c>
      <c r="I22" s="3"/>
      <c r="J22" s="45">
        <v>1</v>
      </c>
      <c r="K22" s="42">
        <v>0.5</v>
      </c>
      <c r="L22" s="42">
        <v>0.5</v>
      </c>
      <c r="M22" s="45">
        <v>1</v>
      </c>
      <c r="N22" s="8"/>
      <c r="O22" s="57">
        <v>0</v>
      </c>
      <c r="P22" s="40">
        <v>0</v>
      </c>
      <c r="Q22" s="40">
        <v>0</v>
      </c>
      <c r="R22" s="40">
        <v>0</v>
      </c>
      <c r="S22" s="1"/>
      <c r="T22" s="16"/>
      <c r="U22" s="40">
        <v>0</v>
      </c>
      <c r="V22" s="1"/>
      <c r="W22" s="40">
        <v>0</v>
      </c>
      <c r="X22" s="40">
        <v>0</v>
      </c>
      <c r="Y22" s="2"/>
      <c r="Z22" s="3"/>
      <c r="AA22" s="14"/>
      <c r="AB22" s="27" t="s">
        <v>42</v>
      </c>
      <c r="AC22" s="1"/>
    </row>
    <row r="23" spans="1:29" ht="12.75">
      <c r="A23" s="8"/>
      <c r="B23" s="16" t="s">
        <v>30</v>
      </c>
      <c r="C23" s="10">
        <v>44015</v>
      </c>
      <c r="D23" s="11">
        <v>0.50208333333333333</v>
      </c>
      <c r="E23" s="12">
        <v>7.9166666666666663E-2</v>
      </c>
      <c r="F23" s="9">
        <v>73432077078</v>
      </c>
      <c r="G23" s="13" t="s">
        <v>23</v>
      </c>
      <c r="H23" s="27" t="s">
        <v>33</v>
      </c>
      <c r="I23" s="3"/>
      <c r="J23" s="14">
        <v>1</v>
      </c>
      <c r="K23" s="14">
        <v>1</v>
      </c>
      <c r="L23" s="14">
        <v>0</v>
      </c>
      <c r="M23" s="14">
        <v>1</v>
      </c>
      <c r="N23" s="8"/>
      <c r="O23" s="47">
        <v>0</v>
      </c>
      <c r="P23" s="14">
        <v>0</v>
      </c>
      <c r="Q23" s="14">
        <v>0</v>
      </c>
      <c r="R23" s="14">
        <v>0</v>
      </c>
      <c r="S23" s="1"/>
      <c r="T23" s="14"/>
      <c r="U23" s="14">
        <v>0</v>
      </c>
      <c r="V23" s="1"/>
      <c r="W23" s="16">
        <v>0</v>
      </c>
      <c r="X23" s="14">
        <v>0</v>
      </c>
      <c r="Y23" s="2"/>
      <c r="Z23" s="3"/>
      <c r="AA23" s="14"/>
      <c r="AB23" s="27" t="s">
        <v>37</v>
      </c>
      <c r="AC23" s="1"/>
    </row>
    <row r="24" spans="1:29" ht="12.75">
      <c r="A24" s="18"/>
      <c r="B24" s="27" t="s">
        <v>30</v>
      </c>
      <c r="C24" s="10">
        <v>44015</v>
      </c>
      <c r="D24" s="11">
        <v>0.5083333333333333</v>
      </c>
      <c r="E24" s="12">
        <v>5.2777777777777778E-2</v>
      </c>
      <c r="F24" s="9">
        <v>73422740000</v>
      </c>
      <c r="G24" s="9" t="s">
        <v>23</v>
      </c>
      <c r="H24" s="27" t="s">
        <v>33</v>
      </c>
      <c r="I24" s="3"/>
      <c r="J24" s="16">
        <v>1</v>
      </c>
      <c r="K24" s="16">
        <v>1</v>
      </c>
      <c r="L24" s="16">
        <v>0</v>
      </c>
      <c r="M24" s="16">
        <v>1</v>
      </c>
      <c r="N24" s="18"/>
      <c r="O24" s="47">
        <v>0</v>
      </c>
      <c r="P24" s="16">
        <v>0</v>
      </c>
      <c r="Q24" s="16">
        <v>0</v>
      </c>
      <c r="R24" s="16">
        <v>0</v>
      </c>
      <c r="S24" s="1"/>
      <c r="T24" s="16"/>
      <c r="U24" s="16">
        <v>0</v>
      </c>
      <c r="V24" s="1"/>
      <c r="W24" s="14">
        <v>0</v>
      </c>
      <c r="X24" s="16">
        <v>0</v>
      </c>
      <c r="Y24" s="2"/>
      <c r="Z24" s="3"/>
      <c r="AA24" s="14"/>
      <c r="AB24" s="27" t="s">
        <v>37</v>
      </c>
      <c r="AC24" s="1"/>
    </row>
    <row r="25" spans="1:29" ht="12.75">
      <c r="A25" s="18"/>
      <c r="B25" s="27" t="s">
        <v>30</v>
      </c>
      <c r="C25" s="10">
        <v>44015</v>
      </c>
      <c r="D25" s="20">
        <v>0.5131944444444444</v>
      </c>
      <c r="E25" s="22">
        <v>1.9444444444444445E-2</v>
      </c>
      <c r="F25" s="9">
        <v>74957888321</v>
      </c>
      <c r="G25" s="13" t="s">
        <v>23</v>
      </c>
      <c r="H25" s="27" t="s">
        <v>33</v>
      </c>
      <c r="I25" s="3"/>
      <c r="J25" s="16">
        <v>1</v>
      </c>
      <c r="K25" s="16">
        <v>1</v>
      </c>
      <c r="L25" s="16">
        <v>0</v>
      </c>
      <c r="M25" s="16">
        <v>1</v>
      </c>
      <c r="N25" s="18"/>
      <c r="O25" s="47">
        <v>0</v>
      </c>
      <c r="P25" s="16">
        <v>0</v>
      </c>
      <c r="Q25" s="16">
        <v>0</v>
      </c>
      <c r="R25" s="16">
        <v>1</v>
      </c>
      <c r="S25" s="1"/>
      <c r="T25" s="16"/>
      <c r="U25" s="16">
        <v>0</v>
      </c>
      <c r="V25" s="1"/>
      <c r="W25" s="16">
        <v>0</v>
      </c>
      <c r="X25" s="16">
        <v>0</v>
      </c>
      <c r="Y25" s="2"/>
      <c r="Z25" s="3"/>
      <c r="AA25" s="14"/>
      <c r="AB25" s="27" t="s">
        <v>43</v>
      </c>
      <c r="AC25" s="1"/>
    </row>
    <row r="26" spans="1:29" ht="12.75">
      <c r="A26" s="8"/>
      <c r="B26" s="27" t="s">
        <v>30</v>
      </c>
      <c r="C26" s="10">
        <v>44015</v>
      </c>
      <c r="D26" s="11">
        <v>0.52152777777777781</v>
      </c>
      <c r="E26" s="12">
        <v>4.7222222222222221E-2</v>
      </c>
      <c r="F26" s="9">
        <v>74965703271</v>
      </c>
      <c r="G26" s="13" t="s">
        <v>23</v>
      </c>
      <c r="H26" s="27" t="s">
        <v>33</v>
      </c>
      <c r="I26" s="3"/>
      <c r="J26" s="14">
        <v>1</v>
      </c>
      <c r="K26" s="14">
        <v>1</v>
      </c>
      <c r="L26" s="14">
        <v>0</v>
      </c>
      <c r="M26" s="14">
        <v>1</v>
      </c>
      <c r="N26" s="8"/>
      <c r="O26" s="47">
        <v>0</v>
      </c>
      <c r="P26" s="14">
        <v>0</v>
      </c>
      <c r="Q26" s="14">
        <v>0</v>
      </c>
      <c r="R26" s="14">
        <v>0</v>
      </c>
      <c r="S26" s="1"/>
      <c r="T26" s="14"/>
      <c r="U26" s="14">
        <v>0</v>
      </c>
      <c r="V26" s="1"/>
      <c r="W26" s="14">
        <v>0</v>
      </c>
      <c r="X26" s="14">
        <v>0</v>
      </c>
      <c r="Y26" s="2"/>
      <c r="Z26" s="3"/>
      <c r="AA26" s="14"/>
      <c r="AB26" s="27" t="s">
        <v>37</v>
      </c>
      <c r="AC26" s="1"/>
    </row>
    <row r="27" spans="1:29" ht="12.75">
      <c r="A27" s="8"/>
      <c r="B27" s="27" t="s">
        <v>30</v>
      </c>
      <c r="C27" s="19">
        <v>44015</v>
      </c>
      <c r="D27" s="11">
        <v>0.53541666666666665</v>
      </c>
      <c r="E27" s="12">
        <v>4.5833333333333337E-2</v>
      </c>
      <c r="F27" s="9">
        <v>73432894034</v>
      </c>
      <c r="G27" s="13" t="s">
        <v>23</v>
      </c>
      <c r="H27" s="27" t="s">
        <v>33</v>
      </c>
      <c r="I27" s="3"/>
      <c r="J27" s="14">
        <v>1</v>
      </c>
      <c r="K27" s="14">
        <v>1</v>
      </c>
      <c r="L27" s="14">
        <v>0</v>
      </c>
      <c r="M27" s="14">
        <v>1</v>
      </c>
      <c r="N27" s="8"/>
      <c r="O27" s="47">
        <v>0</v>
      </c>
      <c r="P27" s="14">
        <v>0</v>
      </c>
      <c r="Q27" s="14">
        <v>0</v>
      </c>
      <c r="R27" s="14">
        <v>0</v>
      </c>
      <c r="S27" s="1"/>
      <c r="T27" s="14"/>
      <c r="U27" s="14">
        <v>0</v>
      </c>
      <c r="V27" s="1"/>
      <c r="W27" s="14">
        <v>0</v>
      </c>
      <c r="X27" s="14">
        <v>0</v>
      </c>
      <c r="Y27" s="2"/>
      <c r="Z27" s="3"/>
      <c r="AA27" s="14"/>
      <c r="AB27" s="27" t="s">
        <v>44</v>
      </c>
      <c r="AC27" s="1"/>
    </row>
    <row r="28" spans="1:29" ht="12.75">
      <c r="A28" s="8"/>
      <c r="B28" s="27" t="s">
        <v>30</v>
      </c>
      <c r="C28" s="19">
        <v>44015</v>
      </c>
      <c r="D28" s="11">
        <v>0.55069444444444449</v>
      </c>
      <c r="E28" s="12">
        <v>3.4027777777777775E-2</v>
      </c>
      <c r="F28" s="9">
        <v>73433815600</v>
      </c>
      <c r="G28" s="13" t="s">
        <v>23</v>
      </c>
      <c r="H28" s="27" t="s">
        <v>33</v>
      </c>
      <c r="I28" s="3"/>
      <c r="J28" s="14">
        <v>1</v>
      </c>
      <c r="K28" s="14">
        <v>1</v>
      </c>
      <c r="L28" s="14">
        <v>0</v>
      </c>
      <c r="M28" s="14">
        <v>1</v>
      </c>
      <c r="N28" s="8"/>
      <c r="O28" s="47">
        <v>0</v>
      </c>
      <c r="P28" s="14">
        <v>0</v>
      </c>
      <c r="Q28" s="14">
        <v>0</v>
      </c>
      <c r="R28" s="14">
        <v>1</v>
      </c>
      <c r="S28" s="1"/>
      <c r="T28" s="16"/>
      <c r="U28" s="16">
        <v>0</v>
      </c>
      <c r="V28" s="1"/>
      <c r="W28" s="16">
        <v>0</v>
      </c>
      <c r="X28" s="14">
        <v>0</v>
      </c>
      <c r="Y28" s="2"/>
      <c r="Z28" s="3"/>
      <c r="AA28" s="14"/>
      <c r="AB28" s="27" t="s">
        <v>37</v>
      </c>
      <c r="AC28" s="1"/>
    </row>
    <row r="29" spans="1:29" ht="12.75">
      <c r="A29" s="18"/>
      <c r="B29" s="27" t="s">
        <v>30</v>
      </c>
      <c r="C29" s="19">
        <v>44015</v>
      </c>
      <c r="D29" s="11">
        <v>0.58124999999999993</v>
      </c>
      <c r="E29" s="12">
        <v>0.10833333333333334</v>
      </c>
      <c r="F29" s="9">
        <v>78559439061</v>
      </c>
      <c r="G29" s="13" t="s">
        <v>23</v>
      </c>
      <c r="H29" s="16" t="s">
        <v>33</v>
      </c>
      <c r="I29" s="3"/>
      <c r="J29" s="16">
        <v>1</v>
      </c>
      <c r="K29" s="16">
        <v>1</v>
      </c>
      <c r="L29" s="16">
        <v>0</v>
      </c>
      <c r="M29" s="16">
        <v>1</v>
      </c>
      <c r="N29" s="18"/>
      <c r="O29" s="47">
        <v>0</v>
      </c>
      <c r="P29" s="16">
        <v>0</v>
      </c>
      <c r="Q29" s="16">
        <v>0</v>
      </c>
      <c r="R29" s="16">
        <v>0</v>
      </c>
      <c r="S29" s="1"/>
      <c r="T29" s="14"/>
      <c r="U29" s="14">
        <v>0</v>
      </c>
      <c r="V29" s="1"/>
      <c r="W29" s="14">
        <v>0</v>
      </c>
      <c r="X29" s="16">
        <v>0</v>
      </c>
      <c r="Y29" s="2"/>
      <c r="Z29" s="3"/>
      <c r="AA29" s="14"/>
      <c r="AB29" s="27" t="s">
        <v>37</v>
      </c>
      <c r="AC29" s="1"/>
    </row>
    <row r="30" spans="1:29" ht="12.75">
      <c r="A30" s="18"/>
      <c r="B30" s="16" t="s">
        <v>30</v>
      </c>
      <c r="C30" s="19">
        <v>44015</v>
      </c>
      <c r="D30" s="20">
        <v>0.43541666666666662</v>
      </c>
      <c r="E30" s="22">
        <v>4.7222222222222221E-2</v>
      </c>
      <c r="F30" s="9">
        <v>74959337279</v>
      </c>
      <c r="G30" s="9" t="s">
        <v>23</v>
      </c>
      <c r="H30" s="27" t="s">
        <v>45</v>
      </c>
      <c r="I30" s="3"/>
      <c r="J30" s="16">
        <v>1</v>
      </c>
      <c r="K30" s="16">
        <v>1</v>
      </c>
      <c r="L30" s="16">
        <v>0</v>
      </c>
      <c r="M30" s="16">
        <v>1</v>
      </c>
      <c r="N30" s="18"/>
      <c r="O30" s="47">
        <v>0</v>
      </c>
      <c r="P30" s="16">
        <v>0</v>
      </c>
      <c r="Q30" s="16">
        <v>0</v>
      </c>
      <c r="R30" s="16">
        <v>0</v>
      </c>
      <c r="S30" s="1"/>
      <c r="T30" s="16"/>
      <c r="U30" s="16">
        <v>0</v>
      </c>
      <c r="V30" s="1"/>
      <c r="W30" s="15">
        <v>0</v>
      </c>
      <c r="X30" s="16">
        <v>0</v>
      </c>
      <c r="Y30" s="2"/>
      <c r="Z30" s="3"/>
      <c r="AA30" s="14"/>
      <c r="AB30" s="27" t="s">
        <v>46</v>
      </c>
      <c r="AC30" s="1"/>
    </row>
    <row r="31" spans="1:29" ht="15.75" customHeight="1">
      <c r="B31" s="16" t="s">
        <v>30</v>
      </c>
      <c r="C31" s="48">
        <v>44015</v>
      </c>
      <c r="D31" s="33">
        <v>0.44444444444444442</v>
      </c>
      <c r="E31" s="35">
        <v>7.2222222222222229E-2</v>
      </c>
      <c r="F31" s="16">
        <v>74842552927</v>
      </c>
      <c r="G31" s="34" t="s">
        <v>23</v>
      </c>
      <c r="H31" s="34" t="s">
        <v>45</v>
      </c>
      <c r="J31" s="45">
        <v>1</v>
      </c>
      <c r="K31" s="45">
        <v>1</v>
      </c>
      <c r="L31" s="40">
        <v>0</v>
      </c>
      <c r="M31" s="45">
        <v>1</v>
      </c>
      <c r="O31" s="57">
        <v>0</v>
      </c>
      <c r="P31" s="42">
        <v>0.5</v>
      </c>
      <c r="Q31" s="45">
        <v>1</v>
      </c>
      <c r="R31" s="45">
        <v>1</v>
      </c>
      <c r="W31" s="40">
        <v>0</v>
      </c>
      <c r="X31" s="45">
        <v>1</v>
      </c>
      <c r="AA31" s="34" t="s">
        <v>48</v>
      </c>
      <c r="AB31" s="34" t="s">
        <v>54</v>
      </c>
    </row>
    <row r="32" spans="1:29" ht="15.75" customHeight="1">
      <c r="B32" s="36" t="s">
        <v>30</v>
      </c>
      <c r="C32" s="48">
        <v>44015</v>
      </c>
      <c r="D32" s="32">
        <v>0.45069444444444445</v>
      </c>
      <c r="E32" s="35">
        <v>5.7638888888888885E-2</v>
      </c>
      <c r="F32" s="25">
        <v>78202538656</v>
      </c>
      <c r="G32" s="34" t="s">
        <v>23</v>
      </c>
      <c r="H32" s="34" t="s">
        <v>45</v>
      </c>
      <c r="J32" s="46">
        <v>1</v>
      </c>
      <c r="K32" s="45">
        <v>1</v>
      </c>
      <c r="L32" s="40">
        <v>0</v>
      </c>
      <c r="M32" s="46">
        <v>1</v>
      </c>
      <c r="O32" s="57">
        <v>0</v>
      </c>
      <c r="P32" s="42">
        <v>0.5</v>
      </c>
      <c r="Q32" s="45">
        <v>1</v>
      </c>
      <c r="R32" s="46">
        <v>1</v>
      </c>
      <c r="U32" s="41">
        <v>0</v>
      </c>
      <c r="W32" s="41">
        <v>0</v>
      </c>
      <c r="X32" s="46">
        <v>1</v>
      </c>
      <c r="AA32" s="34" t="s">
        <v>48</v>
      </c>
      <c r="AB32" s="34" t="s">
        <v>54</v>
      </c>
    </row>
    <row r="33" spans="2:28" ht="15.75" customHeight="1">
      <c r="B33" s="39" t="s">
        <v>58</v>
      </c>
      <c r="C33" s="48">
        <v>44018</v>
      </c>
      <c r="D33" s="32">
        <v>0.42986111111111108</v>
      </c>
      <c r="E33" s="44">
        <v>8.9583333333333334E-2</v>
      </c>
      <c r="F33" s="16">
        <v>73452560617</v>
      </c>
      <c r="G33" s="16" t="s">
        <v>23</v>
      </c>
      <c r="H33" s="16" t="s">
        <v>33</v>
      </c>
      <c r="J33" s="46">
        <v>1</v>
      </c>
      <c r="K33" s="45">
        <v>1</v>
      </c>
      <c r="L33" s="40">
        <v>0</v>
      </c>
      <c r="M33" s="46">
        <v>1</v>
      </c>
      <c r="O33" s="57">
        <v>0</v>
      </c>
      <c r="P33" s="42">
        <v>0.5</v>
      </c>
      <c r="Q33" s="45">
        <v>1</v>
      </c>
      <c r="R33" s="46">
        <v>1</v>
      </c>
      <c r="W33" s="41">
        <v>0</v>
      </c>
      <c r="X33" s="41">
        <v>0</v>
      </c>
      <c r="AB33" s="36" t="s">
        <v>49</v>
      </c>
    </row>
    <row r="34" spans="2:28" ht="15.75" customHeight="1">
      <c r="B34" s="36" t="s">
        <v>58</v>
      </c>
      <c r="C34" s="48">
        <v>44018</v>
      </c>
      <c r="D34" s="32">
        <v>0.43888888888888888</v>
      </c>
      <c r="E34" s="44">
        <v>4.3750000000000004E-2</v>
      </c>
      <c r="F34" s="16">
        <v>74932234191</v>
      </c>
      <c r="G34" s="16" t="s">
        <v>23</v>
      </c>
      <c r="H34" s="16" t="s">
        <v>33</v>
      </c>
      <c r="J34" s="46">
        <v>1</v>
      </c>
      <c r="K34" s="42">
        <v>0.5</v>
      </c>
      <c r="L34" s="40">
        <v>0</v>
      </c>
      <c r="M34" s="46">
        <v>1</v>
      </c>
      <c r="O34" s="57">
        <v>0</v>
      </c>
      <c r="P34" s="40">
        <v>0</v>
      </c>
      <c r="Q34" s="40">
        <v>0</v>
      </c>
      <c r="U34" s="58">
        <v>0.5</v>
      </c>
      <c r="W34" s="41">
        <v>0</v>
      </c>
      <c r="X34" s="41">
        <v>0</v>
      </c>
      <c r="AB34" s="36" t="s">
        <v>50</v>
      </c>
    </row>
    <row r="35" spans="2:28" ht="15.75" customHeight="1">
      <c r="B35" s="36" t="s">
        <v>58</v>
      </c>
      <c r="C35" s="48">
        <v>44018</v>
      </c>
      <c r="D35" s="32">
        <v>0.47569444444444442</v>
      </c>
      <c r="E35" s="47" t="s">
        <v>57</v>
      </c>
      <c r="F35" s="16">
        <v>74832715643</v>
      </c>
      <c r="G35" s="16" t="s">
        <v>23</v>
      </c>
      <c r="H35" s="16" t="s">
        <v>33</v>
      </c>
      <c r="J35" s="46">
        <v>1</v>
      </c>
      <c r="K35" s="42">
        <v>0.5</v>
      </c>
      <c r="L35" s="40">
        <v>0</v>
      </c>
      <c r="M35" s="46">
        <v>1</v>
      </c>
      <c r="O35" s="57">
        <v>0</v>
      </c>
      <c r="P35" s="42">
        <v>0.5</v>
      </c>
      <c r="Q35" s="45">
        <v>1</v>
      </c>
      <c r="R35" s="41">
        <v>0</v>
      </c>
      <c r="U35" s="57">
        <v>0</v>
      </c>
      <c r="W35" s="41">
        <v>0</v>
      </c>
      <c r="X35" s="41">
        <v>0</v>
      </c>
      <c r="AB35" s="36" t="s">
        <v>51</v>
      </c>
    </row>
    <row r="36" spans="2:28" ht="15.75" customHeight="1">
      <c r="B36" s="36" t="s">
        <v>58</v>
      </c>
      <c r="C36" s="48">
        <v>44018</v>
      </c>
      <c r="D36" s="32">
        <v>0.6333333333333333</v>
      </c>
      <c r="E36" s="44" t="s">
        <v>56</v>
      </c>
      <c r="F36" s="16">
        <v>78552202077</v>
      </c>
      <c r="G36" s="16" t="s">
        <v>23</v>
      </c>
      <c r="H36" s="39" t="s">
        <v>33</v>
      </c>
      <c r="J36" s="46">
        <v>1</v>
      </c>
      <c r="K36" s="45">
        <v>1</v>
      </c>
      <c r="L36" s="40">
        <v>0</v>
      </c>
      <c r="M36" s="46">
        <v>1</v>
      </c>
      <c r="O36" s="57">
        <v>0</v>
      </c>
      <c r="P36" s="42">
        <v>0.5</v>
      </c>
      <c r="Q36" s="45">
        <v>1</v>
      </c>
      <c r="R36" s="46">
        <v>1</v>
      </c>
      <c r="W36" s="41">
        <v>0</v>
      </c>
      <c r="X36" s="46">
        <v>1</v>
      </c>
      <c r="AB36" s="36" t="s">
        <v>52</v>
      </c>
    </row>
    <row r="37" spans="2:28" ht="15.75" customHeight="1">
      <c r="B37" s="36" t="s">
        <v>58</v>
      </c>
      <c r="C37" s="48">
        <v>44018</v>
      </c>
      <c r="D37" s="32">
        <v>0.66249999999999998</v>
      </c>
      <c r="E37" s="44">
        <v>0.1076388888888889</v>
      </c>
      <c r="F37" s="16">
        <v>74832419528</v>
      </c>
      <c r="G37" s="16" t="s">
        <v>23</v>
      </c>
      <c r="H37" s="30" t="s">
        <v>33</v>
      </c>
      <c r="J37" s="46">
        <v>1</v>
      </c>
      <c r="K37" s="45">
        <v>1</v>
      </c>
      <c r="L37" s="40">
        <v>0</v>
      </c>
      <c r="M37" s="41">
        <v>0</v>
      </c>
      <c r="O37" s="57">
        <v>0</v>
      </c>
      <c r="P37" s="42">
        <v>0.5</v>
      </c>
      <c r="Q37" s="45">
        <v>1</v>
      </c>
      <c r="R37" s="46">
        <v>1</v>
      </c>
      <c r="W37" s="41">
        <v>0</v>
      </c>
      <c r="X37" s="46">
        <v>1</v>
      </c>
      <c r="AB37" s="36" t="s">
        <v>52</v>
      </c>
    </row>
    <row r="38" spans="2:28" ht="15.75" customHeight="1">
      <c r="B38" s="36" t="s">
        <v>58</v>
      </c>
      <c r="C38" s="48">
        <v>44018</v>
      </c>
      <c r="D38" s="32">
        <v>0.6020833333333333</v>
      </c>
      <c r="E38" s="47" t="s">
        <v>55</v>
      </c>
      <c r="F38" s="16">
        <v>74952303035</v>
      </c>
      <c r="G38" s="47" t="s">
        <v>23</v>
      </c>
      <c r="H38" s="49" t="s">
        <v>45</v>
      </c>
      <c r="J38" s="46">
        <v>1</v>
      </c>
      <c r="K38" s="45">
        <v>1</v>
      </c>
      <c r="L38" s="40">
        <v>0</v>
      </c>
      <c r="M38" s="46">
        <v>1</v>
      </c>
      <c r="O38" s="57">
        <v>0</v>
      </c>
      <c r="P38" s="42">
        <v>0.5</v>
      </c>
      <c r="Q38" s="40">
        <v>0</v>
      </c>
      <c r="R38" s="46">
        <v>1</v>
      </c>
      <c r="W38" s="41">
        <v>0</v>
      </c>
      <c r="X38" s="46">
        <v>1</v>
      </c>
      <c r="AB38" s="36" t="s">
        <v>53</v>
      </c>
    </row>
    <row r="39" spans="2:28" ht="15.75" customHeight="1">
      <c r="B39" s="36" t="s">
        <v>58</v>
      </c>
      <c r="C39" s="48">
        <v>44018</v>
      </c>
      <c r="D39" s="32">
        <v>0.61388888888888882</v>
      </c>
      <c r="E39" s="44">
        <v>9.5833333333333326E-2</v>
      </c>
      <c r="F39" s="16">
        <v>79216514961</v>
      </c>
      <c r="G39" s="49" t="s">
        <v>23</v>
      </c>
      <c r="H39" s="37" t="s">
        <v>45</v>
      </c>
      <c r="J39" s="46">
        <v>1</v>
      </c>
      <c r="K39" s="45">
        <v>1</v>
      </c>
      <c r="L39" s="40">
        <v>0</v>
      </c>
      <c r="M39" s="46">
        <v>1</v>
      </c>
      <c r="O39" s="57">
        <v>0</v>
      </c>
      <c r="P39" s="42">
        <v>0.5</v>
      </c>
      <c r="Q39" s="45">
        <v>1</v>
      </c>
      <c r="R39" s="46">
        <v>1</v>
      </c>
      <c r="W39" s="46">
        <v>1</v>
      </c>
      <c r="X39" s="46">
        <v>1</v>
      </c>
      <c r="AB39" s="36" t="s">
        <v>54</v>
      </c>
    </row>
    <row r="40" spans="2:28" ht="15.75" customHeight="1">
      <c r="D40" s="43"/>
      <c r="E40" s="43"/>
      <c r="AB40" s="36"/>
    </row>
    <row r="41" spans="2:28" ht="15.75" customHeight="1">
      <c r="D41" s="43"/>
      <c r="E41" s="43"/>
    </row>
    <row r="42" spans="2:28" ht="15.75" customHeight="1">
      <c r="D42" s="43"/>
      <c r="E42" s="43"/>
      <c r="T42" s="28"/>
    </row>
    <row r="43" spans="2:28" ht="15.75" customHeight="1">
      <c r="D43" s="43"/>
      <c r="E43" s="43"/>
    </row>
    <row r="44" spans="2:28" ht="15.75" customHeight="1">
      <c r="D44" s="43"/>
      <c r="E44" s="43"/>
    </row>
    <row r="45" spans="2:28" ht="15.75" customHeight="1">
      <c r="D45" s="43"/>
      <c r="E45" s="43"/>
    </row>
    <row r="46" spans="2:28" ht="15.75" customHeight="1">
      <c r="D46" s="43"/>
      <c r="E46" s="43"/>
    </row>
    <row r="47" spans="2:28" ht="15.75" customHeight="1">
      <c r="D47" s="43"/>
      <c r="E47" s="43"/>
    </row>
    <row r="48" spans="2:28" ht="15.75" customHeight="1">
      <c r="D48" s="43"/>
      <c r="E48" s="43"/>
    </row>
    <row r="49" spans="4:5" ht="15.75" customHeight="1">
      <c r="D49" s="43"/>
      <c r="E49" s="43"/>
    </row>
    <row r="50" spans="4:5" ht="15.75" customHeight="1">
      <c r="D50" s="43"/>
      <c r="E50" s="43"/>
    </row>
    <row r="51" spans="4:5" ht="15.75" customHeight="1">
      <c r="D51" s="43"/>
      <c r="E51" s="43"/>
    </row>
    <row r="52" spans="4:5" ht="15.75" customHeight="1">
      <c r="D52" s="43"/>
      <c r="E52" s="43"/>
    </row>
    <row r="53" spans="4:5" ht="15.75" customHeight="1">
      <c r="D53" s="43"/>
      <c r="E53" s="43"/>
    </row>
    <row r="54" spans="4:5" ht="15.75" customHeight="1">
      <c r="D54" s="43"/>
      <c r="E54" s="43"/>
    </row>
    <row r="55" spans="4:5" ht="15.75" customHeight="1">
      <c r="D55" s="43"/>
      <c r="E55" s="43"/>
    </row>
    <row r="56" spans="4:5" ht="15.75" customHeight="1">
      <c r="E56" s="43"/>
    </row>
  </sheetData>
  <mergeCells count="22">
    <mergeCell ref="M2:M5"/>
    <mergeCell ref="L2:L5"/>
    <mergeCell ref="G2:H2"/>
    <mergeCell ref="B3:G3"/>
    <mergeCell ref="J2:J5"/>
    <mergeCell ref="K2:K5"/>
    <mergeCell ref="Y2:Y5"/>
    <mergeCell ref="X2:X5"/>
    <mergeCell ref="AA2:AA5"/>
    <mergeCell ref="Z2:Z5"/>
    <mergeCell ref="AB2:AB5"/>
    <mergeCell ref="AC2:AC5"/>
    <mergeCell ref="N2:N5"/>
    <mergeCell ref="V2:V5"/>
    <mergeCell ref="W2:W5"/>
    <mergeCell ref="O2:O5"/>
    <mergeCell ref="P2:P5"/>
    <mergeCell ref="Q2:Q5"/>
    <mergeCell ref="R2:R5"/>
    <mergeCell ref="S2:S5"/>
    <mergeCell ref="T2:T5"/>
    <mergeCell ref="U2:U5"/>
  </mergeCells>
  <dataValidations count="1">
    <dataValidation type="list" allowBlank="1" sqref="G6:G30">
      <formula1>"Входящий,Исходящий"</formula1>
    </dataValidation>
  </dataValidations>
  <pageMargins left="0.7" right="0.7" top="0.75" bottom="0.75" header="0.3" footer="0.3"/>
  <pageSetup paperSize="9" orientation="portrait" copies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таблицы оценки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2020-07-04T16:34:03Z</dcterms:created>
  <dcterms:modified xsi:type="dcterms:W3CDTF">2020-07-08T10:58:10Z</dcterms:modified>
</cp:coreProperties>
</file>
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6835" windowHeight="11820"/>
  </bookViews>
  <sheets>
    <sheet name="Лист1" sheetId="1" r:id="rId1"/>
  </sheets>
  <calcPr calcId="125725"/>
</workbook>
</file>

<file path=xl/calcChain.xml><?xml version="1.0" encoding="utf-8"?>
<calcChain xmlns="http://schemas.openxmlformats.org/spreadsheetml/2006/main">
  <c r="F13" i="1"/>
  <c r="F9"/>
  <c r="F8"/>
  <c r="F7"/>
  <c r="G9" l="1"/>
  <c r="G5"/>
  <c r="G7"/>
  <c r="G8"/>
  <c r="D14"/>
  <c r="B15"/>
  <c r="G13"/>
  <c r="G14" s="1"/>
  <c r="D11"/>
  <c r="D5"/>
  <c r="G4"/>
  <c r="G11" l="1"/>
  <c r="G15" s="1"/>
</calcChain>
</file>

<file path=xl/sharedStrings.xml><?xml version="1.0" encoding="utf-8"?>
<sst xmlns="http://schemas.openxmlformats.org/spreadsheetml/2006/main" count="33" uniqueCount="24">
  <si>
    <t>SMART (задачи сверх функционала)</t>
  </si>
  <si>
    <t xml:space="preserve">Фактическая оценка </t>
  </si>
  <si>
    <t>сделано</t>
  </si>
  <si>
    <t>Итого:</t>
  </si>
  <si>
    <t>KPI (основной функционал)</t>
  </si>
  <si>
    <t xml:space="preserve">Плановый критерий оценки </t>
  </si>
  <si>
    <t>Оценка собственника</t>
  </si>
  <si>
    <t>ИТОГО</t>
  </si>
  <si>
    <t>Приобрести завод по производству металлоконструкций</t>
  </si>
  <si>
    <t>Оценка внутреннего клиента</t>
  </si>
  <si>
    <t>Вес группы показателей, в %</t>
  </si>
  <si>
    <t>Плановый критерий оценки, сделано - 100%/не сделано -0%</t>
  </si>
  <si>
    <t>Вес каждого показателя, в %</t>
  </si>
  <si>
    <t>Фактическая оценка,%</t>
  </si>
  <si>
    <t>Выполнение,%</t>
  </si>
  <si>
    <t>Итого,%</t>
  </si>
  <si>
    <t>Плановая оценки по пяти бальной шкале,ед.</t>
  </si>
  <si>
    <t xml:space="preserve">Фактическая оценка, ед. </t>
  </si>
  <si>
    <t>Выполнение, %</t>
  </si>
  <si>
    <t>Итого, %</t>
  </si>
  <si>
    <t>Универсальная матрица мотивации</t>
  </si>
  <si>
    <t>Годовая выработка на одного работающего, млн руб.</t>
  </si>
  <si>
    <t>Прирост выплаченных дивидендов от показателя прошлого года, %</t>
  </si>
  <si>
    <t>Годовой прирост выручки от показателя прошлого года, %</t>
  </si>
</sst>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4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4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indexed="4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ill="0" applyBorder="0" applyAlignment="0" applyProtection="0"/>
    <xf numFmtId="0" fontId="1" fillId="0" borderId="0"/>
  </cellStyleXfs>
  <cellXfs count="46">
    <xf numFmtId="0" fontId="0" fillId="0" borderId="0" xfId="0"/>
    <xf numFmtId="0" fontId="4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9" fontId="5" fillId="3" borderId="1" xfId="0" applyNumberFormat="1" applyFont="1" applyFill="1" applyBorder="1" applyAlignment="1">
      <alignment horizontal="left" vertical="top" wrapText="1"/>
    </xf>
    <xf numFmtId="9" fontId="5" fillId="3" borderId="1" xfId="1" applyFont="1" applyFill="1" applyBorder="1" applyAlignment="1" applyProtection="1">
      <alignment horizontal="left" vertical="top"/>
    </xf>
    <xf numFmtId="0" fontId="5" fillId="3" borderId="1" xfId="0" applyFont="1" applyFill="1" applyBorder="1" applyAlignment="1">
      <alignment horizontal="left" vertical="top"/>
    </xf>
    <xf numFmtId="9" fontId="4" fillId="3" borderId="1" xfId="0" applyNumberFormat="1" applyFont="1" applyFill="1" applyBorder="1" applyAlignment="1">
      <alignment horizontal="left" vertical="top"/>
    </xf>
    <xf numFmtId="14" fontId="4" fillId="3" borderId="1" xfId="0" applyNumberFormat="1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 wrapText="1"/>
    </xf>
    <xf numFmtId="9" fontId="5" fillId="5" borderId="1" xfId="0" applyNumberFormat="1" applyFont="1" applyFill="1" applyBorder="1" applyAlignment="1">
      <alignment horizontal="left" vertical="top" wrapText="1"/>
    </xf>
    <xf numFmtId="9" fontId="5" fillId="5" borderId="1" xfId="1" applyFont="1" applyFill="1" applyBorder="1" applyAlignment="1" applyProtection="1">
      <alignment horizontal="left" vertical="top"/>
    </xf>
    <xf numFmtId="14" fontId="5" fillId="5" borderId="1" xfId="2" applyNumberFormat="1" applyFont="1" applyFill="1" applyBorder="1" applyAlignment="1">
      <alignment horizontal="left" vertical="top"/>
    </xf>
    <xf numFmtId="9" fontId="4" fillId="4" borderId="1" xfId="0" applyNumberFormat="1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 wrapText="1"/>
    </xf>
    <xf numFmtId="9" fontId="5" fillId="6" borderId="1" xfId="1" applyFont="1" applyFill="1" applyBorder="1" applyAlignment="1">
      <alignment horizontal="left" vertical="top" wrapText="1"/>
    </xf>
    <xf numFmtId="1" fontId="5" fillId="6" borderId="1" xfId="0" applyNumberFormat="1" applyFont="1" applyFill="1" applyBorder="1" applyAlignment="1">
      <alignment horizontal="left" vertical="top"/>
    </xf>
    <xf numFmtId="9" fontId="5" fillId="6" borderId="1" xfId="1" applyFont="1" applyFill="1" applyBorder="1" applyAlignment="1" applyProtection="1">
      <alignment horizontal="left" vertical="top"/>
    </xf>
    <xf numFmtId="9" fontId="4" fillId="6" borderId="1" xfId="1" applyFont="1" applyFill="1" applyBorder="1" applyAlignment="1" applyProtection="1">
      <alignment horizontal="left" vertical="top"/>
    </xf>
    <xf numFmtId="9" fontId="4" fillId="6" borderId="1" xfId="0" applyNumberFormat="1" applyFont="1" applyFill="1" applyBorder="1" applyAlignment="1">
      <alignment horizontal="left" vertical="top"/>
    </xf>
    <xf numFmtId="0" fontId="4" fillId="8" borderId="1" xfId="0" applyFont="1" applyFill="1" applyBorder="1" applyAlignment="1">
      <alignment horizontal="left" vertical="top"/>
    </xf>
    <xf numFmtId="9" fontId="4" fillId="8" borderId="1" xfId="0" applyNumberFormat="1" applyFont="1" applyFill="1" applyBorder="1" applyAlignment="1">
      <alignment horizontal="left" vertical="top"/>
    </xf>
    <xf numFmtId="9" fontId="5" fillId="8" borderId="1" xfId="0" applyNumberFormat="1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14" fontId="3" fillId="0" borderId="0" xfId="0" applyNumberFormat="1" applyFont="1" applyBorder="1" applyAlignment="1">
      <alignment horizontal="left" vertical="top"/>
    </xf>
    <xf numFmtId="9" fontId="3" fillId="0" borderId="0" xfId="0" applyNumberFormat="1" applyFont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10" fontId="3" fillId="0" borderId="0" xfId="0" applyNumberFormat="1" applyFont="1" applyAlignment="1">
      <alignment horizontal="left" vertical="top"/>
    </xf>
    <xf numFmtId="9" fontId="3" fillId="0" borderId="0" xfId="0" applyNumberFormat="1" applyFont="1" applyFill="1" applyAlignment="1">
      <alignment horizontal="left" vertical="top"/>
    </xf>
    <xf numFmtId="10" fontId="3" fillId="0" borderId="0" xfId="0" applyNumberFormat="1" applyFont="1" applyFill="1" applyAlignment="1">
      <alignment horizontal="left" vertical="top"/>
    </xf>
    <xf numFmtId="9" fontId="7" fillId="2" borderId="1" xfId="0" applyNumberFormat="1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9" fontId="7" fillId="4" borderId="1" xfId="0" applyNumberFormat="1" applyFont="1" applyFill="1" applyBorder="1" applyAlignment="1">
      <alignment horizontal="left" vertical="top" wrapText="1"/>
    </xf>
    <xf numFmtId="9" fontId="7" fillId="7" borderId="1" xfId="0" applyNumberFormat="1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164" fontId="5" fillId="5" borderId="1" xfId="1" applyNumberFormat="1" applyFont="1" applyFill="1" applyBorder="1" applyAlignment="1" applyProtection="1">
      <alignment horizontal="left" vertical="top"/>
    </xf>
    <xf numFmtId="0" fontId="3" fillId="0" borderId="0" xfId="0" applyFont="1" applyBorder="1" applyAlignment="1">
      <alignment horizontal="left" vertical="top"/>
    </xf>
    <xf numFmtId="9" fontId="5" fillId="5" borderId="1" xfId="0" applyNumberFormat="1" applyFont="1" applyFill="1" applyBorder="1" applyAlignment="1">
      <alignment horizontal="left" vertical="top" wrapText="1"/>
    </xf>
  </cellXfs>
  <cellStyles count="3">
    <cellStyle name="Обычный" xfId="0" builtinId="0"/>
    <cellStyle name="Обычный_FNC" xfId="2"/>
    <cellStyle name="Процентный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2"/>
  </sheetPr>
  <dimension ref="A1:K17"/>
  <sheetViews>
    <sheetView tabSelected="1" zoomScaleNormal="100" workbookViewId="0"/>
  </sheetViews>
  <sheetFormatPr defaultColWidth="11.7109375" defaultRowHeight="15.75"/>
  <cols>
    <col min="1" max="1" width="61.28515625" style="28" customWidth="1"/>
    <col min="2" max="2" width="9.5703125" style="28" customWidth="1"/>
    <col min="3" max="3" width="40.85546875" style="28" customWidth="1"/>
    <col min="4" max="4" width="16.85546875" style="28" customWidth="1"/>
    <col min="5" max="5" width="19.85546875" style="28" customWidth="1"/>
    <col min="6" max="6" width="16.140625" style="28" customWidth="1"/>
    <col min="7" max="7" width="14.7109375" style="28" customWidth="1"/>
    <col min="8" max="16384" width="11.7109375" style="28"/>
  </cols>
  <sheetData>
    <row r="1" spans="1:11">
      <c r="A1" s="32" t="s">
        <v>20</v>
      </c>
    </row>
    <row r="2" spans="1:11" ht="17.25" customHeight="1">
      <c r="A2" s="44"/>
      <c r="B2" s="44"/>
      <c r="F2" s="29"/>
    </row>
    <row r="3" spans="1:11" ht="71.25">
      <c r="A3" s="2" t="s">
        <v>0</v>
      </c>
      <c r="B3" s="36" t="s">
        <v>10</v>
      </c>
      <c r="C3" s="37" t="s">
        <v>11</v>
      </c>
      <c r="D3" s="36" t="s">
        <v>12</v>
      </c>
      <c r="E3" s="37" t="s">
        <v>13</v>
      </c>
      <c r="F3" s="37" t="s">
        <v>14</v>
      </c>
      <c r="G3" s="36" t="s">
        <v>15</v>
      </c>
      <c r="J3" s="30"/>
    </row>
    <row r="4" spans="1:11" s="31" customFormat="1">
      <c r="A4" s="3" t="s">
        <v>8</v>
      </c>
      <c r="B4" s="4">
        <v>0.3</v>
      </c>
      <c r="C4" s="3" t="s">
        <v>2</v>
      </c>
      <c r="D4" s="4">
        <v>1</v>
      </c>
      <c r="E4" s="3" t="s">
        <v>2</v>
      </c>
      <c r="F4" s="4">
        <v>1</v>
      </c>
      <c r="G4" s="5">
        <f>D4*F4</f>
        <v>1</v>
      </c>
    </row>
    <row r="5" spans="1:11">
      <c r="A5" s="1" t="s">
        <v>3</v>
      </c>
      <c r="B5" s="6"/>
      <c r="C5" s="6"/>
      <c r="D5" s="7">
        <f>SUM(D4:D4)</f>
        <v>1</v>
      </c>
      <c r="E5" s="2"/>
      <c r="F5" s="8"/>
      <c r="G5" s="7">
        <f>SUM(G4:G4)*B4</f>
        <v>0.3</v>
      </c>
      <c r="J5" s="30"/>
    </row>
    <row r="6" spans="1:11" ht="33" customHeight="1">
      <c r="A6" s="10" t="s">
        <v>4</v>
      </c>
      <c r="B6" s="38" t="s">
        <v>10</v>
      </c>
      <c r="C6" s="39" t="s">
        <v>5</v>
      </c>
      <c r="D6" s="39" t="s">
        <v>12</v>
      </c>
      <c r="E6" s="39" t="s">
        <v>1</v>
      </c>
      <c r="F6" s="39" t="s">
        <v>14</v>
      </c>
      <c r="G6" s="40" t="s">
        <v>15</v>
      </c>
    </row>
    <row r="7" spans="1:11" s="32" customFormat="1">
      <c r="A7" s="11" t="s">
        <v>23</v>
      </c>
      <c r="B7" s="45">
        <v>0.6</v>
      </c>
      <c r="C7" s="12">
        <v>0.15</v>
      </c>
      <c r="D7" s="13">
        <v>0.5</v>
      </c>
      <c r="E7" s="13">
        <v>0.15</v>
      </c>
      <c r="F7" s="13">
        <f>E7/C7</f>
        <v>1</v>
      </c>
      <c r="G7" s="13">
        <f>D7*F7</f>
        <v>0.5</v>
      </c>
      <c r="H7" s="28"/>
    </row>
    <row r="8" spans="1:11" s="32" customFormat="1">
      <c r="A8" s="11" t="s">
        <v>21</v>
      </c>
      <c r="B8" s="45"/>
      <c r="C8" s="11">
        <v>2.5</v>
      </c>
      <c r="D8" s="13">
        <v>0.3</v>
      </c>
      <c r="E8" s="43">
        <v>2.5</v>
      </c>
      <c r="F8" s="13">
        <f>E8/C8</f>
        <v>1</v>
      </c>
      <c r="G8" s="13">
        <f>D8*F8</f>
        <v>0.3</v>
      </c>
      <c r="H8" s="28"/>
    </row>
    <row r="9" spans="1:11" s="32" customFormat="1" ht="31.5">
      <c r="A9" s="11" t="s">
        <v>22</v>
      </c>
      <c r="B9" s="45"/>
      <c r="C9" s="12">
        <v>0.1</v>
      </c>
      <c r="D9" s="13">
        <v>0.2</v>
      </c>
      <c r="E9" s="13">
        <v>0.05</v>
      </c>
      <c r="F9" s="13">
        <f>E9/C9</f>
        <v>0.5</v>
      </c>
      <c r="G9" s="13">
        <f>D9*F9</f>
        <v>0.1</v>
      </c>
      <c r="H9" s="28"/>
    </row>
    <row r="10" spans="1:11" ht="27" hidden="1" customHeight="1">
      <c r="A10" s="11"/>
      <c r="B10" s="45"/>
      <c r="C10" s="11"/>
      <c r="D10" s="13"/>
      <c r="E10" s="14"/>
      <c r="F10" s="13"/>
      <c r="G10" s="13"/>
      <c r="J10" s="30"/>
    </row>
    <row r="11" spans="1:11">
      <c r="A11" s="9" t="s">
        <v>3</v>
      </c>
      <c r="B11" s="9"/>
      <c r="C11" s="15"/>
      <c r="D11" s="15">
        <f>SUM(D7:D10)</f>
        <v>1</v>
      </c>
      <c r="E11" s="15"/>
      <c r="F11" s="16"/>
      <c r="G11" s="15">
        <f>SUM(G7:G10)*B7</f>
        <v>0.54</v>
      </c>
      <c r="K11" s="33"/>
    </row>
    <row r="12" spans="1:11" s="31" customFormat="1" ht="71.25">
      <c r="A12" s="17" t="s">
        <v>9</v>
      </c>
      <c r="B12" s="41" t="s">
        <v>10</v>
      </c>
      <c r="C12" s="42" t="s">
        <v>16</v>
      </c>
      <c r="D12" s="42" t="s">
        <v>12</v>
      </c>
      <c r="E12" s="42" t="s">
        <v>17</v>
      </c>
      <c r="F12" s="42" t="s">
        <v>18</v>
      </c>
      <c r="G12" s="41" t="s">
        <v>19</v>
      </c>
      <c r="H12" s="28"/>
      <c r="J12" s="34"/>
    </row>
    <row r="13" spans="1:11" s="31" customFormat="1">
      <c r="A13" s="18" t="s">
        <v>6</v>
      </c>
      <c r="B13" s="19">
        <v>0.1</v>
      </c>
      <c r="C13" s="20">
        <v>5</v>
      </c>
      <c r="D13" s="21">
        <v>1</v>
      </c>
      <c r="E13" s="20">
        <v>4</v>
      </c>
      <c r="F13" s="21">
        <f>E13/C13</f>
        <v>0.8</v>
      </c>
      <c r="G13" s="21">
        <f>D13*F13</f>
        <v>0.8</v>
      </c>
      <c r="H13" s="28"/>
      <c r="K13" s="35"/>
    </row>
    <row r="14" spans="1:11">
      <c r="A14" s="17" t="s">
        <v>3</v>
      </c>
      <c r="B14" s="17"/>
      <c r="C14" s="17"/>
      <c r="D14" s="22">
        <f>SUM(D13:D13)</f>
        <v>1</v>
      </c>
      <c r="E14" s="17"/>
      <c r="F14" s="17"/>
      <c r="G14" s="23">
        <f>SUM(G13:G13)*B13</f>
        <v>8.0000000000000016E-2</v>
      </c>
    </row>
    <row r="15" spans="1:11">
      <c r="A15" s="24" t="s">
        <v>7</v>
      </c>
      <c r="B15" s="25">
        <f>B13+B7+B4</f>
        <v>1</v>
      </c>
      <c r="C15" s="24"/>
      <c r="D15" s="26"/>
      <c r="E15" s="27"/>
      <c r="F15" s="27"/>
      <c r="G15" s="25">
        <f>G14+G11+G5</f>
        <v>0.92000000000000015</v>
      </c>
      <c r="J15" s="30"/>
    </row>
    <row r="16" spans="1:11">
      <c r="D16" s="30"/>
      <c r="K16" s="33"/>
    </row>
    <row r="17" spans="4:4">
      <c r="D17" s="30"/>
    </row>
  </sheetData>
  <mergeCells count="2">
    <mergeCell ref="A2:B2"/>
    <mergeCell ref="B7:B10"/>
  </mergeCells>
  <pageMargins left="0.19685039370078741" right="0.15748031496062992" top="0.22" bottom="0.16" header="0.22" footer="0.17"/>
  <pageSetup paperSize="9" scale="60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Подготовлено экспертами Актион-МЦФЭР</dc:description>
  <dcterms:created xsi:type="dcterms:W3CDTF">2019-03-11T09:55:07Z</dcterms:created>
  <dcterms:modified xsi:type="dcterms:W3CDTF">2019-03-26T13:20:30Z</dcterms:modified>
</cp:coreProperties>
</file>